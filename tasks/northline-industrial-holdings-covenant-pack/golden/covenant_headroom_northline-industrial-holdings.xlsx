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ed_Debt" sheetId="1" state="visible" r:id="rId1"/>
    <sheet name="Adjusted_EBITDA" sheetId="2" state="visible" r:id="rId2"/>
    <sheet name="Covenant_Tests" sheetId="3" state="visible" r:id="rId3"/>
    <sheet name="Exceptions" sheetId="4" state="visible" r:id="rId4"/>
    <sheet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2" customWidth="1" min="4" max="4"/>
  </cols>
  <sheetData>
    <row r="1">
      <c r="A1" s="1" t="inlineStr">
        <is>
          <t>Northline Industrial Holdings — Consolidated Funded Debt</t>
        </is>
      </c>
    </row>
    <row r="2">
      <c r="A2" t="inlineStr">
        <is>
          <t>Test Date: 2026-06-30</t>
        </is>
      </c>
    </row>
    <row r="3">
      <c r="A3" t="inlineStr">
        <is>
          <t>Governing source: credit_agreement_covenant_excerpts.txt (Consolidated Funded Debt definition)</t>
        </is>
      </c>
    </row>
    <row r="5">
      <c r="A5" s="2" t="inlineStr">
        <is>
          <t>Component</t>
        </is>
      </c>
      <c r="B5" s="2" t="inlineStr">
        <is>
          <t>Amount</t>
        </is>
      </c>
      <c r="C5" s="2" t="inlineStr">
        <is>
          <t>Include?</t>
        </is>
      </c>
      <c r="D5" s="2" t="inlineStr">
        <is>
          <t>Basis</t>
        </is>
      </c>
    </row>
    <row r="6">
      <c r="A6" s="3" t="inlineStr">
        <is>
          <t>Term Loan A outstanding</t>
        </is>
      </c>
      <c r="B6" s="4" t="n">
        <v>42850000</v>
      </c>
      <c r="C6" s="3" t="inlineStr">
        <is>
          <t>Yes</t>
        </is>
      </c>
      <c r="D6" s="3" t="inlineStr">
        <is>
          <t>CA §1.01 — Term Loans</t>
        </is>
      </c>
    </row>
    <row r="7">
      <c r="A7" s="3" t="inlineStr">
        <is>
          <t>Revolving Loans drawn</t>
        </is>
      </c>
      <c r="B7" s="4" t="n">
        <v>18250000</v>
      </c>
      <c r="C7" s="3" t="inlineStr">
        <is>
          <t>Yes</t>
        </is>
      </c>
      <c r="D7" s="3" t="inlineStr">
        <is>
          <t>CA §1.01 — drawn Revolving Loans only</t>
        </is>
      </c>
    </row>
    <row r="8">
      <c r="A8" s="3" t="inlineStr">
        <is>
          <t>Finance Lease Obligations</t>
        </is>
      </c>
      <c r="B8" s="4" t="n">
        <v>2184620.18</v>
      </c>
      <c r="C8" s="3" t="inlineStr">
        <is>
          <t>Yes</t>
        </is>
      </c>
      <c r="D8" s="3" t="inlineStr">
        <is>
          <t>CA §1.01 Finance Lease Obligations</t>
        </is>
      </c>
    </row>
    <row r="9">
      <c r="A9" s="3" t="inlineStr">
        <is>
          <t>Bolt &amp; Die seller note</t>
        </is>
      </c>
      <c r="B9" s="4" t="n">
        <v>4500000</v>
      </c>
      <c r="C9" s="3" t="inlineStr">
        <is>
          <t>Yes</t>
        </is>
      </c>
      <c r="D9" s="3" t="inlineStr">
        <is>
          <t>CA §1.01 expressly includes seller note</t>
        </is>
      </c>
    </row>
    <row r="10">
      <c r="A10" s="3" t="inlineStr">
        <is>
          <t>Intercompany note — Northline Holdco LLC</t>
        </is>
      </c>
      <c r="B10" s="4" t="n">
        <v>1200000</v>
      </c>
      <c r="C10" s="3" t="inlineStr">
        <is>
          <t>No</t>
        </is>
      </c>
      <c r="D10" s="3" t="inlineStr">
        <is>
          <t>Excluded: Indebtedness owing to Guarantor / Loan Party</t>
        </is>
      </c>
    </row>
    <row r="11">
      <c r="A11" s="3" t="inlineStr">
        <is>
          <t>Standby LCs undrawn face</t>
        </is>
      </c>
      <c r="B11" s="4" t="n">
        <v>3200000</v>
      </c>
      <c r="C11" s="3" t="inlineStr">
        <is>
          <t>No</t>
        </is>
      </c>
      <c r="D11" s="3" t="inlineStr">
        <is>
          <t>Excluded: undrawn letters of credit</t>
        </is>
      </c>
    </row>
    <row r="13">
      <c r="A13" s="5" t="inlineStr">
        <is>
          <t>Consolidated Funded Debt</t>
        </is>
      </c>
      <c t="n" r="B13" s="6">
        <f>B6+B7+B8+B9</f>
        <v>67784620.18</v>
      </c>
      <c r="C13" t="inlineStr">
        <is>
          <t>Yes</t>
        </is>
      </c>
      <c r="D13" t="inlineStr">
        <is>
          <t>Sum of included components (excludes rows marked No)</t>
        </is>
      </c>
    </row>
    <row r="15">
      <c r="A15" t="inlineStr">
        <is>
          <t>Stale Draft_Q1 balances were not used; Facilities tab as-of Test Date governs.</t>
        </is>
      </c>
    </row>
    <row r="16">
      <c r="A16" t="inlineStr">
        <is>
          <t>Control total (rounded): 67,784,620.18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2" customWidth="1" min="4" max="4"/>
    <col width="70" customWidth="1" min="5" max="5"/>
  </cols>
  <sheetData>
    <row r="1">
      <c r="A1" s="1" t="inlineStr">
        <is>
          <t>Northline Industrial Holdings — Consolidated Adjusted EBITDA</t>
        </is>
      </c>
    </row>
    <row r="2">
      <c r="A2" t="inlineStr">
        <is>
          <t>TTM ended 2026-06-30</t>
        </is>
      </c>
    </row>
    <row r="3">
      <c r="A3" t="inlineStr">
        <is>
          <t>Governing source: credit_agreement_covenant_excerpts.txt (Consolidated Adjusted EBITDA definition)</t>
        </is>
      </c>
    </row>
    <row r="5">
      <c r="A5" s="2" t="inlineStr">
        <is>
          <t>Line</t>
        </is>
      </c>
      <c r="B5" s="2" t="inlineStr">
        <is>
          <t>Borrower amount</t>
        </is>
      </c>
      <c r="C5" s="2" t="inlineStr">
        <is>
          <t>Lender-allowed</t>
        </is>
      </c>
      <c r="D5" s="2" t="inlineStr">
        <is>
          <t>Disposition</t>
        </is>
      </c>
      <c r="E5" s="2" t="inlineStr">
        <is>
          <t>Agreement basis</t>
        </is>
      </c>
    </row>
    <row r="6">
      <c r="A6" s="3" t="inlineStr">
        <is>
          <t>Reported Consolidated EBITDA (borrower pack)</t>
        </is>
      </c>
      <c r="B6" s="4" t="n">
        <v>14228440.25</v>
      </c>
      <c r="C6" s="4" t="n">
        <v>14228440.25</v>
      </c>
      <c r="D6" s="3" t="inlineStr">
        <is>
          <t>Base</t>
        </is>
      </c>
      <c r="E6" s="3" t="inlineStr">
        <is>
          <t>Starting Consolidated EBITDA</t>
        </is>
      </c>
    </row>
    <row r="7">
      <c r="A7" s="3" t="inlineStr">
        <is>
          <t>Non-cash stock-based compensation</t>
        </is>
      </c>
      <c r="B7" s="4" t="n">
        <v>412880.4</v>
      </c>
      <c r="C7" s="4" t="n">
        <v>412880.4</v>
      </c>
      <c r="D7" s="3" t="inlineStr">
        <is>
          <t>Allow</t>
        </is>
      </c>
      <c r="E7" s="3" t="inlineStr">
        <is>
          <t>CA clause (a) non-cash SBC</t>
        </is>
      </c>
    </row>
    <row r="8">
      <c r="A8" s="3" t="inlineStr">
        <is>
          <t>Dayton restructuring (Permitted Restructuring Charges)</t>
        </is>
      </c>
      <c r="B8" s="4" t="n">
        <v>2840000</v>
      </c>
      <c r="C8" s="4" t="n">
        <v>2000000</v>
      </c>
      <c r="D8" s="3" t="inlineStr">
        <is>
          <t>Cap</t>
        </is>
      </c>
      <c r="E8" s="3" t="inlineStr">
        <is>
          <t>CA clause (b) cap $2,000,000 TTM; excess 840,000.00 disallowed</t>
        </is>
      </c>
    </row>
    <row r="9">
      <c r="A9" s="3" t="inlineStr">
        <is>
          <t>Bolt &amp; Die transaction costs</t>
        </is>
      </c>
      <c r="B9" s="4" t="n">
        <v>685220.18</v>
      </c>
      <c r="C9" s="4" t="n">
        <v>685220.18</v>
      </c>
      <c r="D9" s="3" t="inlineStr">
        <is>
          <t>Allow</t>
        </is>
      </c>
      <c r="E9" s="3" t="inlineStr">
        <is>
          <t>CA clause (c) Permitted Acquisition fees within 12 months of close</t>
        </is>
      </c>
    </row>
    <row r="10">
      <c r="A10" s="3" t="inlineStr">
        <is>
          <t>Bolt &amp; Die run-rate synergies (projected)</t>
        </is>
      </c>
      <c r="B10" s="4" t="n">
        <v>1100000</v>
      </c>
      <c r="C10" s="4" t="n">
        <v>0</v>
      </c>
      <c r="D10" s="3" t="inlineStr">
        <is>
          <t>Reject</t>
        </is>
      </c>
      <c r="E10" s="3" t="inlineStr">
        <is>
          <t>CA negative list (i) — projected/run-rate synergies not realized</t>
        </is>
      </c>
    </row>
    <row r="11">
      <c r="A11" s="3" t="inlineStr">
        <is>
          <t>Sponsor management fee — Ridgepath Capital</t>
        </is>
      </c>
      <c r="B11" s="4" t="n">
        <v>750000</v>
      </c>
      <c r="C11" s="4" t="n">
        <v>500000</v>
      </c>
      <c r="D11" s="3" t="inlineStr">
        <is>
          <t>Cap</t>
        </is>
      </c>
      <c r="E11" s="3" t="inlineStr">
        <is>
          <t>CA clause (e) $500,000 TTM basket; excess 250,000.00 disallowed</t>
        </is>
      </c>
    </row>
    <row r="12">
      <c r="A12" s="3" t="inlineStr">
        <is>
          <t>Inventory step-up amortization</t>
        </is>
      </c>
      <c r="B12" s="4" t="n">
        <v>318450.22</v>
      </c>
      <c r="C12" s="4" t="n">
        <v>318450.22</v>
      </c>
      <c r="D12" s="3" t="inlineStr">
        <is>
          <t>Allow</t>
        </is>
      </c>
      <c r="E12" s="3" t="inlineStr">
        <is>
          <t>CA clause (d) non-cash purchase accounting</t>
        </is>
      </c>
    </row>
    <row r="13">
      <c r="A13" s="3" t="inlineStr">
        <is>
          <t>Customer warranty dispute settlement (Atlas Forge)</t>
        </is>
      </c>
      <c r="B13" s="4" t="n">
        <v>425000</v>
      </c>
      <c r="C13" s="4" t="n">
        <v>0</v>
      </c>
      <c r="D13" s="3" t="inlineStr">
        <is>
          <t>Reject</t>
        </is>
      </c>
      <c r="E13" s="3" t="inlineStr">
        <is>
          <t>Ordinary Course Warranty Matter — CA negative list (ii)</t>
        </is>
      </c>
    </row>
    <row r="15">
      <c r="A15" s="5" t="inlineStr">
        <is>
          <t>Consolidated Adjusted EBITDA</t>
        </is>
      </c>
      <c t="n" r="C15" s="6">
        <f>C6+C7+C8+C9+C10+C11+C12+C13</f>
        <v>18144991.05</v>
      </c>
      <c r="D15" t="inlineStr">
        <is>
          <t>Lender-adjusted</t>
        </is>
      </c>
      <c r="E15" t="inlineStr">
        <is>
          <t>Control: 18,144,991.05</t>
        </is>
      </c>
    </row>
    <row r="17">
      <c r="A17" s="5" t="inlineStr">
        <is>
          <t>Rejected / capped amounts (not in Adjusted EBITDA)</t>
        </is>
      </c>
    </row>
    <row r="18">
      <c r="A18" t="inlineStr">
        <is>
          <t>Restructuring excess above $2,000,000 cap</t>
        </is>
      </c>
      <c r="C18" s="7" t="n">
        <v>840000</v>
      </c>
    </row>
    <row r="19">
      <c r="A19" t="inlineStr">
        <is>
          <t>Run-rate synergies rejected</t>
        </is>
      </c>
      <c r="C19" s="7" t="n">
        <v>1100000</v>
      </c>
    </row>
    <row r="20">
      <c r="A20" t="inlineStr">
        <is>
          <t>Sponsor fee excess above $500,000 basket</t>
        </is>
      </c>
      <c r="C20" s="7" t="n">
        <v>250000</v>
      </c>
    </row>
    <row r="21">
      <c r="A21" t="inlineStr">
        <is>
          <t>Ordinary-course warranty settlement rejected</t>
        </is>
      </c>
      <c r="C21" s="7" t="n">
        <v>425000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18" customWidth="1" min="4" max="4"/>
    <col width="10" customWidth="1" min="5" max="5"/>
  </cols>
  <sheetData>
    <row r="1">
      <c r="A1" s="1" t="inlineStr">
        <is>
          <t>Northline Industrial Holdings — Financial covenant tests</t>
        </is>
      </c>
    </row>
    <row r="2">
      <c r="A2" t="inlineStr">
        <is>
          <t>Test Date 2026-06-30 | TTM ended 2026-06-30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Limit</t>
        </is>
      </c>
      <c r="D4" s="2" t="inlineStr">
        <is>
          <t>Headroom / cushion</t>
        </is>
      </c>
      <c r="E4" s="2" t="inlineStr">
        <is>
          <t>Result</t>
        </is>
      </c>
    </row>
    <row r="5">
      <c r="A5" t="inlineStr">
        <is>
          <t>Total Leverage Ratio</t>
        </is>
      </c>
      <c t="n" r="B5" s="8">
        <f>Funded_Debt!B13/Adjusted_EBITDA!C15</f>
        <v>3.7357</v>
      </c>
      <c r="C5" s="9" t="n">
        <v>4.5</v>
      </c>
      <c t="n" r="D5" s="8">
        <f>C5-B5</f>
        <v>0.7643</v>
      </c>
      <c r="E5" s="10" t="inlineStr">
        <is>
          <t>PASS</t>
        </is>
      </c>
    </row>
    <row r="6">
      <c r="A6" t="inlineStr">
        <is>
          <t>Interest Coverage Ratio</t>
        </is>
      </c>
      <c t="n" r="B6" s="8">
        <f>Adjusted_EBITDA!C15/4882110.4</f>
        <v>3.7166</v>
      </c>
      <c r="C6" s="9" t="n">
        <v>2.5</v>
      </c>
      <c t="n" r="D6" s="8">
        <f>B6-C6</f>
        <v>1.2166</v>
      </c>
      <c r="E6" s="10" t="inlineStr">
        <is>
          <t>PASS</t>
        </is>
      </c>
    </row>
    <row r="8">
      <c r="A8" s="5" t="inlineStr">
        <is>
          <t>CapEx basket (calendar 2026 YTD)</t>
        </is>
      </c>
    </row>
    <row r="9">
      <c r="A9" s="2" t="inlineStr">
        <is>
          <t>Item</t>
        </is>
      </c>
      <c r="B9" s="2" t="inlineStr">
        <is>
          <t>Amount</t>
        </is>
      </c>
      <c r="C9" s="2" t="inlineStr">
        <is>
          <t>Notes</t>
        </is>
      </c>
    </row>
    <row r="10">
      <c r="A10" t="inlineStr">
        <is>
          <t>Gross CapEx YTD</t>
        </is>
      </c>
      <c r="B10" s="7" t="n">
        <v>9120400.55</v>
      </c>
      <c r="C10" t="inlineStr">
        <is>
          <t>From CapEx_YTD tab in debt schedule</t>
        </is>
      </c>
    </row>
    <row r="11">
      <c r="A11" t="inlineStr">
        <is>
          <t>Less: Permitted Acquisition CapEx (Bolt &amp; Die integration)</t>
        </is>
      </c>
      <c r="B11" s="7" t="n">
        <v>1840000</v>
      </c>
      <c r="C11" t="inlineStr">
        <is>
          <t>CA §1.01 Permitted Acquisition CapEx / §6.12 carve-out</t>
        </is>
      </c>
    </row>
    <row r="12">
      <c r="A12" s="5" t="inlineStr">
        <is>
          <t>CapEx Basket Usage</t>
        </is>
      </c>
      <c t="n" r="B12" s="7">
        <f>B10-B11</f>
        <v>7280400.55</v>
      </c>
      <c r="C12" t="inlineStr">
        <is>
          <t>Gross minus carve-out</t>
        </is>
      </c>
    </row>
    <row r="13">
      <c r="A13" t="inlineStr">
        <is>
          <t>CapEx Basket Limit</t>
        </is>
      </c>
      <c r="B13" s="7" t="n">
        <v>8500000</v>
      </c>
      <c r="C13" t="inlineStr">
        <is>
          <t>CA §6.12 — $8,500,000 calendar year (not prorated)</t>
        </is>
      </c>
    </row>
    <row r="14">
      <c r="A14" t="inlineStr">
        <is>
          <t>Remaining basket</t>
        </is>
      </c>
      <c t="n" r="B14" s="7">
        <f>B13-B12</f>
        <v>1219599.45</v>
      </c>
      <c r="E14" s="10" t="inlineStr">
        <is>
          <t>PASS</t>
        </is>
      </c>
    </row>
    <row r="16">
      <c r="A16" s="5" t="inlineStr">
        <is>
          <t>Supporting inputs</t>
        </is>
      </c>
    </row>
    <row r="17">
      <c r="A17" t="inlineStr">
        <is>
          <t>Cash Interest Expense (TTM)</t>
        </is>
      </c>
      <c r="B17" s="7" t="n">
        <v>4882110.4</v>
      </c>
      <c r="C17" t="inlineStr">
        <is>
          <t>Excludes commitment fees and LC fees per CA §1.01</t>
        </is>
      </c>
    </row>
    <row r="18">
      <c r="A18" t="inlineStr">
        <is>
          <t>Max Funded Debt at 4.50x</t>
        </is>
      </c>
      <c t="n" r="B18" s="7">
        <f>Adjusted_EBITDA!C15*4.5</f>
        <v>81652459.73</v>
      </c>
    </row>
    <row r="19">
      <c r="A19" t="inlineStr">
        <is>
          <t>Debt dollars of headroom</t>
        </is>
      </c>
      <c t="n" r="B19" s="7">
        <f>B18-Funded_Debt!B13</f>
        <v>13867839.55</v>
      </c>
    </row>
    <row r="21">
      <c r="A21" t="inlineStr">
        <is>
          <t>Control leverage 3.7357 | ICR 3.7166 | CapEx usage 7,280,400.55 | remaining 1,219,599.45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8" customWidth="1" min="3" max="3"/>
    <col width="18" customWidth="1" min="4" max="4"/>
    <col width="55" customWidth="1" min="5" max="5"/>
  </cols>
  <sheetData>
    <row r="1">
      <c r="A1" s="1" t="inlineStr">
        <is>
          <t>Exception and disputed-item log</t>
        </is>
      </c>
    </row>
    <row r="2">
      <c r="A2" t="inlineStr">
        <is>
          <t>Items where borrower treatment differs from lender-adjusted certificate</t>
        </is>
      </c>
    </row>
    <row r="4">
      <c r="A4" s="2" t="inlineStr">
        <is>
          <t>Item</t>
        </is>
      </c>
      <c r="B4" s="2" t="inlineStr">
        <is>
          <t>Borrower treatment</t>
        </is>
      </c>
      <c r="C4" s="2" t="inlineStr">
        <is>
          <t>Lender disposition</t>
        </is>
      </c>
      <c r="D4" s="2" t="inlineStr">
        <is>
          <t>$ impact vs borrower</t>
        </is>
      </c>
      <c r="E4" s="2" t="inlineStr">
        <is>
          <t>Citation</t>
        </is>
      </c>
    </row>
    <row r="5">
      <c r="A5" s="3" t="inlineStr">
        <is>
          <t>Dayton restructuring add-back</t>
        </is>
      </c>
      <c r="B5" s="3" t="inlineStr">
        <is>
          <t>Include full 2,840,000.00</t>
        </is>
      </c>
      <c r="C5" s="3" t="inlineStr">
        <is>
          <t>Allow only 2,000,000.00 under Permitted Restructuring cap</t>
        </is>
      </c>
      <c r="D5" s="4" t="n">
        <v>-840000</v>
      </c>
      <c r="E5" s="3" t="inlineStr">
        <is>
          <t>credit_agreement_covenant_excerpts.txt Consolidated Adjusted EBITDA (b)</t>
        </is>
      </c>
    </row>
    <row r="6">
      <c r="A6" s="3" t="inlineStr">
        <is>
          <t>Bolt &amp; Die run-rate synergies</t>
        </is>
      </c>
      <c r="B6" s="3" t="inlineStr">
        <is>
          <t>Include 1,100,000.00 projected savings</t>
        </is>
      </c>
      <c r="C6" s="3" t="inlineStr">
        <is>
          <t>Reject — not realized in consolidated results</t>
        </is>
      </c>
      <c r="D6" s="4" t="n">
        <v>-1100000</v>
      </c>
      <c r="E6" s="3" t="inlineStr">
        <is>
          <t>credit_agreement_covenant_excerpts.txt Consolidated Adjusted EBITDA negative list (i)</t>
        </is>
      </c>
    </row>
    <row r="7">
      <c r="A7" s="3" t="inlineStr">
        <is>
          <t>Ridgepath sponsor management fee</t>
        </is>
      </c>
      <c r="B7" s="3" t="inlineStr">
        <is>
          <t>Include full 750,000.00</t>
        </is>
      </c>
      <c r="C7" s="3" t="inlineStr">
        <is>
          <t>Allow only 500,000.00 affiliate fee basket</t>
        </is>
      </c>
      <c r="D7" s="4" t="n">
        <v>-250000</v>
      </c>
      <c r="E7" s="3" t="inlineStr">
        <is>
          <t>credit_agreement_covenant_excerpts.txt Consolidated Adjusted EBITDA (e) / §6.05</t>
        </is>
      </c>
    </row>
    <row r="8">
      <c r="A8" s="3" t="inlineStr">
        <is>
          <t>Atlas Forge warranty settlement</t>
        </is>
      </c>
      <c r="B8" s="3" t="inlineStr">
        <is>
          <t>Include 425,000.00 as extraordinary litigation</t>
        </is>
      </c>
      <c r="C8" s="3" t="inlineStr">
        <is>
          <t>Reject — Ordinary Course Warranty Matter</t>
        </is>
      </c>
      <c r="D8" s="4" t="n">
        <v>-425000</v>
      </c>
      <c r="E8" s="3" t="inlineStr">
        <is>
          <t>credit_agreement_covenant_excerpts.txt Ordinary Course Warranty Matters / negative list (ii)</t>
        </is>
      </c>
    </row>
    <row r="9">
      <c r="A9" s="3" t="inlineStr">
        <is>
          <t>Intercompany note to Northline Holdco LLC</t>
        </is>
      </c>
      <c r="B9" s="3" t="inlineStr">
        <is>
          <t>Borrower flagged as possible Funded Debt</t>
        </is>
      </c>
      <c r="C9" s="3" t="inlineStr">
        <is>
          <t>Exclude — owing to Guarantor Loan Party</t>
        </is>
      </c>
      <c r="D9" s="4" t="n">
        <v>0</v>
      </c>
      <c r="E9" s="3" t="inlineStr">
        <is>
          <t>credit_agreement_covenant_excerpts.txt Consolidated Funded Debt exclusion (2)</t>
        </is>
      </c>
    </row>
    <row r="10">
      <c r="A10" s="3" t="inlineStr">
        <is>
          <t>Undrawn standby LC face</t>
        </is>
      </c>
      <c r="B10" s="3" t="inlineStr">
        <is>
          <t>Listed on debt schedule at face</t>
        </is>
      </c>
      <c r="C10" s="3" t="inlineStr">
        <is>
          <t>Exclude undrawn face from Funded Debt</t>
        </is>
      </c>
      <c r="D10" s="4" t="n">
        <v>0</v>
      </c>
      <c r="E10" s="3" t="inlineStr">
        <is>
          <t>credit_agreement_covenant_excerpts.txt Consolidated Funded Debt exclusion (1)</t>
        </is>
      </c>
    </row>
    <row r="11">
      <c r="A11" s="3" t="inlineStr">
        <is>
          <t>Bolt &amp; Die integration CapEx</t>
        </is>
      </c>
      <c r="B11" s="3" t="inlineStr">
        <is>
          <t>Included in gross CapEx vs basket</t>
        </is>
      </c>
      <c r="C11" s="3" t="inlineStr">
        <is>
          <t>Carve out as Permitted Acquisition CapEx</t>
        </is>
      </c>
      <c r="D11" s="4" t="n">
        <v>-1840000</v>
      </c>
      <c r="E11" s="3" t="inlineStr">
        <is>
          <t>credit_agreement_covenant_excerpts.txt §6.12 / Permitted Acquisition CapEx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  <col width="20" customWidth="1" min="4" max="4"/>
  </cols>
  <sheetData>
    <row r="1">
      <c r="A1" s="1" t="inlineStr">
        <is>
          <t>Northline Industrial Holdings — Portfolio committee recommendation</t>
        </is>
      </c>
    </row>
    <row r="2">
      <c r="A2" t="inlineStr">
        <is>
          <t>Q2 covenant certificate as of 2026-06-30</t>
        </is>
      </c>
    </row>
    <row r="4">
      <c r="A4" s="5" t="inlineStr">
        <is>
          <t>Recommendation</t>
        </is>
      </c>
    </row>
    <row r="5" ht="60" customHeight="1">
      <c r="A5" s="11" t="inlineStr">
        <is>
          <t>PASS — certify compliance on Total Leverage, Interest Coverage, and CapEx basket using lender-adjusted Consolidated Funded Debt and Consolidated Adjusted EBITDA. Do not accept the borrower-claimed Adjusted EBITDA figure for the certificate.</t>
        </is>
      </c>
    </row>
    <row r="7">
      <c r="A7" s="5" t="inlineStr">
        <is>
          <t>Covenant results (lender-adjusted)</t>
        </is>
      </c>
    </row>
    <row r="8">
      <c r="A8" t="inlineStr">
        <is>
          <t>Total Leverage</t>
        </is>
      </c>
      <c t="n" r="B8" s="8">
        <f>Covenant_Tests!B5</f>
        <v>3.7357</v>
      </c>
      <c r="C8" t="inlineStr">
        <is>
          <t>vs max 4.50x — PASS</t>
        </is>
      </c>
    </row>
    <row r="9">
      <c r="A9" t="inlineStr">
        <is>
          <t>Interest Coverage</t>
        </is>
      </c>
      <c t="n" r="B9" s="8">
        <f>Covenant_Tests!B6</f>
        <v>3.7166</v>
      </c>
      <c r="C9" t="inlineStr">
        <is>
          <t>vs min 2.50x — PASS</t>
        </is>
      </c>
    </row>
    <row r="10">
      <c r="A10" t="inlineStr">
        <is>
          <t>CapEx Basket Usage</t>
        </is>
      </c>
      <c t="n" r="B10" s="7">
        <f>Covenant_Tests!B12</f>
        <v>7280400.55</v>
      </c>
      <c r="C10" t="inlineStr">
        <is>
          <t>vs limit 8,500,000.00 — PASS (see Covenant_Tests remaining basket)</t>
        </is>
      </c>
    </row>
    <row r="12">
      <c r="A12" s="5" t="inlineStr">
        <is>
          <t>Key adjustments vs borrower pack</t>
        </is>
      </c>
    </row>
    <row r="13" ht="75" customHeight="1">
      <c r="A13" s="11" t="inlineStr">
        <is>
          <t>Adjusted EBITDA reduced for: restructuring excess $840,000.00; run-rate synergies $1,100,000.00; sponsor fee excess $250,000.00; ordinary-course warranty $425,000.00. Funded Debt includes seller note $4,500,000.00; excludes intercompany $1,200,000.00 and undrawn LCs $3,200,000.00.</t>
        </is>
      </c>
    </row>
    <row r="15">
      <c r="A15" s="5" t="inlineStr">
        <is>
          <t>Residual monitoring</t>
        </is>
      </c>
    </row>
    <row r="16" ht="75" customHeight="1">
      <c r="A16" s="11" t="inlineStr">
        <is>
          <t>Watch CapEx remaining basket (~$1.22mm) if H2 growth projects accelerate; confirm no further restructuring charges that would exhaust the $2.0mm TTM add-back cap; reject any future run-rate synergy add-backs until reflected in consolidated results. Citations: credit_agreement_covenant_excerpts.txt; debt schedule Facilities/CapEx_YTD; ebitda bridge add-back codes RESTRUCT, SYNERGY, MGMT_FEE, LIT.</t>
        </is>
      </c>
    </row>
    <row r="18">
      <c r="A18" t="inlineStr">
        <is>
          <t>Prepared for Mid-Market Credit portfolio committee — certificate-ready figures only.</t>
        </is>
      </c>
    </row>
  </sheetData>
  <mergeCells count="3">
    <mergeCell ref="A5:D5"/>
    <mergeCell ref="A13:D1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2026-09-04T08:15:54Z</dcterms:created>
  <dcterms:modified xsi:type="dcterms:W3CDTF">2026-09-04T08:15:54Z</dcterms:modified>
</cp:coreProperties>
</file>