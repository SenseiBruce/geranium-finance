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nse Pool" sheetId="1" state="visible" r:id="rId1"/>
    <sheet name="Tenant True-up" sheetId="2" state="visible" r:id="rId2"/>
    <sheet name="Exceptions" sheetId="3" state="visible" r:id="rId3"/>
    <sheet name="Recommend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Meridian Commons 2025 CAM — eligible expense pool</t>
        </is>
      </c>
    </row>
    <row r="3">
      <c r="A3" s="1" t="inlineStr">
        <is>
          <t>entry_id</t>
        </is>
      </c>
      <c r="B3" s="1" t="inlineStr">
        <is>
          <t>gl_account</t>
        </is>
      </c>
      <c r="C3" s="1" t="inlineStr">
        <is>
          <t>vendor</t>
        </is>
      </c>
      <c r="D3" s="1" t="inlineStr">
        <is>
          <t>amount</t>
        </is>
      </c>
      <c r="E3" s="1" t="inlineStr">
        <is>
          <t>classification</t>
        </is>
      </c>
      <c r="F3" s="1" t="inlineStr">
        <is>
          <t>source</t>
        </is>
      </c>
    </row>
    <row r="4">
      <c r="A4" t="inlineStr">
        <is>
          <t>JE-9001</t>
        </is>
      </c>
      <c r="B4" t="inlineStr">
        <is>
          <t>6210</t>
        </is>
      </c>
      <c r="C4" t="inlineStr">
        <is>
          <t>Summit Roofing LLC</t>
        </is>
      </c>
      <c r="D4" t="n">
        <v>186420</v>
      </c>
      <c r="E4" t="inlineStr">
        <is>
          <t>exclude_capital_roof</t>
        </is>
      </c>
      <c r="F4" t="inlineStr">
        <is>
          <t>meridian_commons_expense_ledger.csv</t>
        </is>
      </c>
    </row>
    <row r="5">
      <c r="A5" t="inlineStr">
        <is>
          <t>JE-9002</t>
        </is>
      </c>
      <c r="B5" t="inlineStr">
        <is>
          <t>6225</t>
        </is>
      </c>
      <c r="C5" t="inlineStr">
        <is>
          <t>ClimateWorks Mechanical</t>
        </is>
      </c>
      <c r="D5" t="n">
        <v>42850</v>
      </c>
      <c r="E5" t="inlineStr">
        <is>
          <t>exclude_capital_hvac</t>
        </is>
      </c>
      <c r="F5" t="inlineStr">
        <is>
          <t>meridian_commons_expense_ledger.csv</t>
        </is>
      </c>
    </row>
    <row r="6">
      <c r="A6" t="inlineStr">
        <is>
          <t>JE-9003</t>
        </is>
      </c>
      <c r="B6" t="inlineStr">
        <is>
          <t>6300</t>
        </is>
      </c>
      <c r="C6" t="inlineStr">
        <is>
          <t>Midwest Mutual</t>
        </is>
      </c>
      <c r="D6" t="n">
        <v>118600</v>
      </c>
      <c r="E6" t="inlineStr">
        <is>
          <t>exclude_insurance</t>
        </is>
      </c>
      <c r="F6" t="inlineStr">
        <is>
          <t>meridian_commons_expense_ledger.csv</t>
        </is>
      </c>
    </row>
    <row r="7">
      <c r="A7" t="inlineStr">
        <is>
          <t>JE-9004</t>
        </is>
      </c>
      <c r="B7" t="inlineStr">
        <is>
          <t>6450</t>
        </is>
      </c>
      <c r="C7" t="inlineStr">
        <is>
          <t>Commons Marketing Co-op</t>
        </is>
      </c>
      <c r="D7" t="n">
        <v>27480</v>
      </c>
      <c r="E7" t="inlineStr">
        <is>
          <t>exclude_marketing_pool</t>
        </is>
      </c>
      <c r="F7" t="inlineStr">
        <is>
          <t>meridian_commons_expense_ledger.csv</t>
        </is>
      </c>
    </row>
    <row r="8">
      <c r="A8" t="inlineStr">
        <is>
          <t>JE-9005</t>
        </is>
      </c>
      <c r="B8" t="inlineStr">
        <is>
          <t>6150</t>
        </is>
      </c>
      <c r="C8" t="inlineStr">
        <is>
          <t>GreenRibbon Grounds</t>
        </is>
      </c>
      <c r="D8" t="n">
        <v>3240</v>
      </c>
      <c r="E8" t="inlineStr">
        <is>
          <t>eligible_cam</t>
        </is>
      </c>
      <c r="F8" t="inlineStr">
        <is>
          <t>meridian_commons_expense_ledger.csv</t>
        </is>
      </c>
    </row>
    <row r="9">
      <c r="A9" t="inlineStr">
        <is>
          <t>JE-9006</t>
        </is>
      </c>
      <c r="B9" t="inlineStr">
        <is>
          <t>6150</t>
        </is>
      </c>
      <c r="C9" t="inlineStr">
        <is>
          <t>GreenRibbon Grounds</t>
        </is>
      </c>
      <c r="D9" t="n">
        <v>3240</v>
      </c>
      <c r="E9" t="inlineStr">
        <is>
          <t>exclude_duplicate</t>
        </is>
      </c>
      <c r="F9" t="inlineStr">
        <is>
          <t>meridian_commons_expense_ledger.csv</t>
        </is>
      </c>
    </row>
    <row r="10">
      <c r="A10" t="inlineStr">
        <is>
          <t>JE-9100</t>
        </is>
      </c>
      <c r="B10" t="inlineStr">
        <is>
          <t>6110</t>
        </is>
      </c>
      <c r="C10" t="inlineStr">
        <is>
          <t>Buckeye Power</t>
        </is>
      </c>
      <c r="D10" t="n">
        <v>16000.77</v>
      </c>
      <c r="E10" t="inlineStr">
        <is>
          <t>eligible_cam</t>
        </is>
      </c>
      <c r="F10" t="inlineStr">
        <is>
          <t>meridian_commons_expense_ledger.csv</t>
        </is>
      </c>
    </row>
    <row r="11">
      <c r="A11" t="inlineStr">
        <is>
          <t>JE-9101</t>
        </is>
      </c>
      <c r="B11" t="inlineStr">
        <is>
          <t>6120</t>
        </is>
      </c>
      <c r="C11" t="inlineStr">
        <is>
          <t>City of Columbus Utilities</t>
        </is>
      </c>
      <c r="D11" t="n">
        <v>7736.01</v>
      </c>
      <c r="E11" t="inlineStr">
        <is>
          <t>eligible_cam</t>
        </is>
      </c>
      <c r="F11" t="inlineStr">
        <is>
          <t>meridian_commons_expense_ledger.csv</t>
        </is>
      </c>
    </row>
    <row r="12">
      <c r="A12" t="inlineStr">
        <is>
          <t>JE-9102</t>
        </is>
      </c>
      <c r="B12" t="inlineStr">
        <is>
          <t>6130</t>
        </is>
      </c>
      <c r="C12" t="inlineStr">
        <is>
          <t>Republic Waste</t>
        </is>
      </c>
      <c r="D12" t="n">
        <v>11174.81</v>
      </c>
      <c r="E12" t="inlineStr">
        <is>
          <t>eligible_cam</t>
        </is>
      </c>
      <c r="F12" t="inlineStr">
        <is>
          <t>meridian_commons_expense_ledger.csv</t>
        </is>
      </c>
    </row>
    <row r="13">
      <c r="A13" t="inlineStr">
        <is>
          <t>JE-9103</t>
        </is>
      </c>
      <c r="B13" t="inlineStr">
        <is>
          <t>6140</t>
        </is>
      </c>
      <c r="C13" t="inlineStr">
        <is>
          <t>Northland Plow</t>
        </is>
      </c>
      <c r="D13" t="n">
        <v>7080.82</v>
      </c>
      <c r="E13" t="inlineStr">
        <is>
          <t>eligible_cam</t>
        </is>
      </c>
      <c r="F13" t="inlineStr">
        <is>
          <t>meridian_commons_expense_ledger.csv</t>
        </is>
      </c>
    </row>
    <row r="14">
      <c r="A14" t="inlineStr">
        <is>
          <t>JE-9104</t>
        </is>
      </c>
      <c r="B14" t="inlineStr">
        <is>
          <t>6150</t>
        </is>
      </c>
      <c r="C14" t="inlineStr">
        <is>
          <t>GreenRibbon Grounds</t>
        </is>
      </c>
      <c r="D14" t="n">
        <v>13685.41</v>
      </c>
      <c r="E14" t="inlineStr">
        <is>
          <t>eligible_cam</t>
        </is>
      </c>
      <c r="F14" t="inlineStr">
        <is>
          <t>meridian_commons_expense_ledger.csv</t>
        </is>
      </c>
    </row>
    <row r="15">
      <c r="A15" t="inlineStr">
        <is>
          <t>JE-9105</t>
        </is>
      </c>
      <c r="B15" t="inlineStr">
        <is>
          <t>6160</t>
        </is>
      </c>
      <c r="C15" t="inlineStr">
        <is>
          <t>Asphalt Partners OH</t>
        </is>
      </c>
      <c r="D15" t="n">
        <v>16161.62</v>
      </c>
      <c r="E15" t="inlineStr">
        <is>
          <t>eligible_cam</t>
        </is>
      </c>
      <c r="F15" t="inlineStr">
        <is>
          <t>meridian_commons_expense_ledger.csv</t>
        </is>
      </c>
    </row>
    <row r="16">
      <c r="A16" t="inlineStr">
        <is>
          <t>JE-9106</t>
        </is>
      </c>
      <c r="B16" t="inlineStr">
        <is>
          <t>6170</t>
        </is>
      </c>
      <c r="C16" t="inlineStr">
        <is>
          <t>Sparkle Commons</t>
        </is>
      </c>
      <c r="D16" t="n">
        <v>7575.27</v>
      </c>
      <c r="E16" t="inlineStr">
        <is>
          <t>eligible_cam</t>
        </is>
      </c>
      <c r="F16" t="inlineStr">
        <is>
          <t>meridian_commons_expense_ledger.csv</t>
        </is>
      </c>
    </row>
    <row r="17">
      <c r="A17" t="inlineStr">
        <is>
          <t>JE-9107</t>
        </is>
      </c>
      <c r="B17" t="inlineStr">
        <is>
          <t>6180</t>
        </is>
      </c>
      <c r="C17" t="inlineStr">
        <is>
          <t>Watchline Security</t>
        </is>
      </c>
      <c r="D17" t="n">
        <v>10274.24</v>
      </c>
      <c r="E17" t="inlineStr">
        <is>
          <t>eligible_cam</t>
        </is>
      </c>
      <c r="F17" t="inlineStr">
        <is>
          <t>meridian_commons_expense_ledger.csv</t>
        </is>
      </c>
    </row>
    <row r="18">
      <c r="A18" t="inlineStr">
        <is>
          <t>JE-9108</t>
        </is>
      </c>
      <c r="B18" t="inlineStr">
        <is>
          <t>6190</t>
        </is>
      </c>
      <c r="C18" t="inlineStr">
        <is>
          <t>AlertNet</t>
        </is>
      </c>
      <c r="D18" t="n">
        <v>8504.1</v>
      </c>
      <c r="E18" t="inlineStr">
        <is>
          <t>eligible_cam</t>
        </is>
      </c>
      <c r="F18" t="inlineStr">
        <is>
          <t>meridian_commons_expense_ledger.csv</t>
        </is>
      </c>
    </row>
    <row r="19">
      <c r="A19" t="inlineStr">
        <is>
          <t>JE-9109</t>
        </is>
      </c>
      <c r="B19" t="inlineStr">
        <is>
          <t>6225</t>
        </is>
      </c>
      <c r="C19" t="inlineStr">
        <is>
          <t>ClimateWorks Mechanical</t>
        </is>
      </c>
      <c r="D19" t="n">
        <v>7946.22</v>
      </c>
      <c r="E19" t="inlineStr">
        <is>
          <t>eligible_cam</t>
        </is>
      </c>
      <c r="F19" t="inlineStr">
        <is>
          <t>meridian_commons_expense_ledger.csv</t>
        </is>
      </c>
    </row>
    <row r="20">
      <c r="A20" t="inlineStr">
        <is>
          <t>JE-9110</t>
        </is>
      </c>
      <c r="B20" t="inlineStr">
        <is>
          <t>6110</t>
        </is>
      </c>
      <c r="C20" t="inlineStr">
        <is>
          <t>Buckeye Power</t>
        </is>
      </c>
      <c r="D20" t="n">
        <v>8173.28</v>
      </c>
      <c r="E20" t="inlineStr">
        <is>
          <t>eligible_cam</t>
        </is>
      </c>
      <c r="F20" t="inlineStr">
        <is>
          <t>meridian_commons_expense_ledger.csv</t>
        </is>
      </c>
    </row>
    <row r="21">
      <c r="A21" t="inlineStr">
        <is>
          <t>JE-9111</t>
        </is>
      </c>
      <c r="B21" t="inlineStr">
        <is>
          <t>6120</t>
        </is>
      </c>
      <c r="C21" t="inlineStr">
        <is>
          <t>City of Columbus Utilities</t>
        </is>
      </c>
      <c r="D21" t="n">
        <v>6411.35</v>
      </c>
      <c r="E21" t="inlineStr">
        <is>
          <t>eligible_cam</t>
        </is>
      </c>
      <c r="F21" t="inlineStr">
        <is>
          <t>meridian_commons_expense_ledger.csv</t>
        </is>
      </c>
    </row>
    <row r="22">
      <c r="A22" t="inlineStr">
        <is>
          <t>JE-9112</t>
        </is>
      </c>
      <c r="B22" t="inlineStr">
        <is>
          <t>6130</t>
        </is>
      </c>
      <c r="C22" t="inlineStr">
        <is>
          <t>Republic Waste</t>
        </is>
      </c>
      <c r="D22" t="n">
        <v>12148.16</v>
      </c>
      <c r="E22" t="inlineStr">
        <is>
          <t>eligible_cam</t>
        </is>
      </c>
      <c r="F22" t="inlineStr">
        <is>
          <t>meridian_commons_expense_ledger.csv</t>
        </is>
      </c>
    </row>
    <row r="23">
      <c r="A23" t="inlineStr">
        <is>
          <t>JE-9113</t>
        </is>
      </c>
      <c r="B23" t="inlineStr">
        <is>
          <t>6140</t>
        </is>
      </c>
      <c r="C23" t="inlineStr">
        <is>
          <t>Northland Plow</t>
        </is>
      </c>
      <c r="D23" t="n">
        <v>8701.69</v>
      </c>
      <c r="E23" t="inlineStr">
        <is>
          <t>eligible_cam</t>
        </is>
      </c>
      <c r="F23" t="inlineStr">
        <is>
          <t>meridian_commons_expense_ledger.csv</t>
        </is>
      </c>
    </row>
    <row r="24">
      <c r="A24" t="inlineStr">
        <is>
          <t>JE-9114</t>
        </is>
      </c>
      <c r="B24" t="inlineStr">
        <is>
          <t>6150</t>
        </is>
      </c>
      <c r="C24" t="inlineStr">
        <is>
          <t>GreenRibbon Grounds</t>
        </is>
      </c>
      <c r="D24" t="n">
        <v>15640.05</v>
      </c>
      <c r="E24" t="inlineStr">
        <is>
          <t>eligible_cam</t>
        </is>
      </c>
      <c r="F24" t="inlineStr">
        <is>
          <t>meridian_commons_expense_ledger.csv</t>
        </is>
      </c>
    </row>
    <row r="25">
      <c r="A25" t="inlineStr">
        <is>
          <t>JE-9115</t>
        </is>
      </c>
      <c r="B25" t="inlineStr">
        <is>
          <t>6160</t>
        </is>
      </c>
      <c r="C25" t="inlineStr">
        <is>
          <t>Asphalt Partners OH</t>
        </is>
      </c>
      <c r="D25" t="n">
        <v>6426.57</v>
      </c>
      <c r="E25" t="inlineStr">
        <is>
          <t>eligible_cam</t>
        </is>
      </c>
      <c r="F25" t="inlineStr">
        <is>
          <t>meridian_commons_expense_ledger.csv</t>
        </is>
      </c>
    </row>
    <row r="26">
      <c r="A26" t="inlineStr">
        <is>
          <t>JE-9116</t>
        </is>
      </c>
      <c r="B26" t="inlineStr">
        <is>
          <t>6170</t>
        </is>
      </c>
      <c r="C26" t="inlineStr">
        <is>
          <t>Sparkle Commons</t>
        </is>
      </c>
      <c r="D26" t="n">
        <v>14208.6</v>
      </c>
      <c r="E26" t="inlineStr">
        <is>
          <t>eligible_cam</t>
        </is>
      </c>
      <c r="F26" t="inlineStr">
        <is>
          <t>meridian_commons_expense_ledger.csv</t>
        </is>
      </c>
    </row>
    <row r="27">
      <c r="A27" t="inlineStr">
        <is>
          <t>JE-9117</t>
        </is>
      </c>
      <c r="B27" t="inlineStr">
        <is>
          <t>6180</t>
        </is>
      </c>
      <c r="C27" t="inlineStr">
        <is>
          <t>Watchline Security</t>
        </is>
      </c>
      <c r="D27" t="n">
        <v>13269.12</v>
      </c>
      <c r="E27" t="inlineStr">
        <is>
          <t>eligible_cam</t>
        </is>
      </c>
      <c r="F27" t="inlineStr">
        <is>
          <t>meridian_commons_expense_ledger.csv</t>
        </is>
      </c>
    </row>
    <row r="28">
      <c r="A28" t="inlineStr">
        <is>
          <t>JE-9118</t>
        </is>
      </c>
      <c r="B28" t="inlineStr">
        <is>
          <t>6190</t>
        </is>
      </c>
      <c r="C28" t="inlineStr">
        <is>
          <t>AlertNet</t>
        </is>
      </c>
      <c r="D28" t="n">
        <v>15242.88</v>
      </c>
      <c r="E28" t="inlineStr">
        <is>
          <t>eligible_cam</t>
        </is>
      </c>
      <c r="F28" t="inlineStr">
        <is>
          <t>meridian_commons_expense_ledger.csv</t>
        </is>
      </c>
    </row>
    <row r="29">
      <c r="A29" t="inlineStr">
        <is>
          <t>JE-9119</t>
        </is>
      </c>
      <c r="B29" t="inlineStr">
        <is>
          <t>6225</t>
        </is>
      </c>
      <c r="C29" t="inlineStr">
        <is>
          <t>ClimateWorks Mechanical</t>
        </is>
      </c>
      <c r="D29" t="n">
        <v>13791.18</v>
      </c>
      <c r="E29" t="inlineStr">
        <is>
          <t>eligible_cam</t>
        </is>
      </c>
      <c r="F29" t="inlineStr">
        <is>
          <t>meridian_commons_expense_ledger.csv</t>
        </is>
      </c>
    </row>
    <row r="30">
      <c r="A30" t="inlineStr">
        <is>
          <t>JE-9120</t>
        </is>
      </c>
      <c r="B30" t="inlineStr">
        <is>
          <t>6110</t>
        </is>
      </c>
      <c r="C30" t="inlineStr">
        <is>
          <t>Buckeye Power</t>
        </is>
      </c>
      <c r="D30" t="n">
        <v>12917.86</v>
      </c>
      <c r="E30" t="inlineStr">
        <is>
          <t>eligible_cam</t>
        </is>
      </c>
      <c r="F30" t="inlineStr">
        <is>
          <t>meridian_commons_expense_ledger.csv</t>
        </is>
      </c>
    </row>
    <row r="31">
      <c r="A31" t="inlineStr">
        <is>
          <t>JE-9121</t>
        </is>
      </c>
      <c r="B31" t="inlineStr">
        <is>
          <t>6120</t>
        </is>
      </c>
      <c r="C31" t="inlineStr">
        <is>
          <t>City of Columbus Utilities</t>
        </is>
      </c>
      <c r="D31" t="n">
        <v>13081.06</v>
      </c>
      <c r="E31" t="inlineStr">
        <is>
          <t>eligible_cam</t>
        </is>
      </c>
      <c r="F31" t="inlineStr">
        <is>
          <t>meridian_commons_expense_ledger.csv</t>
        </is>
      </c>
    </row>
    <row r="32">
      <c r="A32" t="inlineStr">
        <is>
          <t>JE-9122</t>
        </is>
      </c>
      <c r="B32" t="inlineStr">
        <is>
          <t>6130</t>
        </is>
      </c>
      <c r="C32" t="inlineStr">
        <is>
          <t>Republic Waste</t>
        </is>
      </c>
      <c r="D32" t="n">
        <v>13458.87</v>
      </c>
      <c r="E32" t="inlineStr">
        <is>
          <t>eligible_cam</t>
        </is>
      </c>
      <c r="F32" t="inlineStr">
        <is>
          <t>meridian_commons_expense_ledger.csv</t>
        </is>
      </c>
    </row>
    <row r="33">
      <c r="A33" t="inlineStr">
        <is>
          <t>JE-9123</t>
        </is>
      </c>
      <c r="B33" t="inlineStr">
        <is>
          <t>6140</t>
        </is>
      </c>
      <c r="C33" t="inlineStr">
        <is>
          <t>Northland Plow</t>
        </is>
      </c>
      <c r="D33" t="n">
        <v>13147.97</v>
      </c>
      <c r="E33" t="inlineStr">
        <is>
          <t>eligible_cam</t>
        </is>
      </c>
      <c r="F33" t="inlineStr">
        <is>
          <t>meridian_commons_expense_ledger.csv</t>
        </is>
      </c>
    </row>
    <row r="34">
      <c r="A34" t="inlineStr">
        <is>
          <t>JE-9124</t>
        </is>
      </c>
      <c r="B34" t="inlineStr">
        <is>
          <t>6150</t>
        </is>
      </c>
      <c r="C34" t="inlineStr">
        <is>
          <t>GreenRibbon Grounds</t>
        </is>
      </c>
      <c r="D34" t="n">
        <v>9848.29</v>
      </c>
      <c r="E34" t="inlineStr">
        <is>
          <t>eligible_cam</t>
        </is>
      </c>
      <c r="F34" t="inlineStr">
        <is>
          <t>meridian_commons_expense_ledger.csv</t>
        </is>
      </c>
    </row>
    <row r="35">
      <c r="A35" t="inlineStr">
        <is>
          <t>JE-9125</t>
        </is>
      </c>
      <c r="B35" t="inlineStr">
        <is>
          <t>6160</t>
        </is>
      </c>
      <c r="C35" t="inlineStr">
        <is>
          <t>Asphalt Partners OH</t>
        </is>
      </c>
      <c r="D35" t="n">
        <v>11162.04</v>
      </c>
      <c r="E35" t="inlineStr">
        <is>
          <t>eligible_cam</t>
        </is>
      </c>
      <c r="F35" t="inlineStr">
        <is>
          <t>meridian_commons_expense_ledger.csv</t>
        </is>
      </c>
    </row>
    <row r="36">
      <c r="A36" t="inlineStr">
        <is>
          <t>JE-9126</t>
        </is>
      </c>
      <c r="B36" t="inlineStr">
        <is>
          <t>6170</t>
        </is>
      </c>
      <c r="C36" t="inlineStr">
        <is>
          <t>Sparkle Commons</t>
        </is>
      </c>
      <c r="D36" t="n">
        <v>14603.19</v>
      </c>
      <c r="E36" t="inlineStr">
        <is>
          <t>eligible_cam</t>
        </is>
      </c>
      <c r="F36" t="inlineStr">
        <is>
          <t>meridian_commons_expense_ledger.csv</t>
        </is>
      </c>
    </row>
    <row r="37">
      <c r="A37" t="inlineStr">
        <is>
          <t>JE-9127</t>
        </is>
      </c>
      <c r="B37" t="inlineStr">
        <is>
          <t>6180</t>
        </is>
      </c>
      <c r="C37" t="inlineStr">
        <is>
          <t>Watchline Security</t>
        </is>
      </c>
      <c r="D37" t="n">
        <v>11644.54</v>
      </c>
      <c r="E37" t="inlineStr">
        <is>
          <t>eligible_cam</t>
        </is>
      </c>
      <c r="F37" t="inlineStr">
        <is>
          <t>meridian_commons_expense_ledger.csv</t>
        </is>
      </c>
    </row>
    <row r="38">
      <c r="A38" t="inlineStr">
        <is>
          <t>JE-9128</t>
        </is>
      </c>
      <c r="B38" t="inlineStr">
        <is>
          <t>6190</t>
        </is>
      </c>
      <c r="C38" t="inlineStr">
        <is>
          <t>AlertNet</t>
        </is>
      </c>
      <c r="D38" t="n">
        <v>12836.05</v>
      </c>
      <c r="E38" t="inlineStr">
        <is>
          <t>eligible_cam</t>
        </is>
      </c>
      <c r="F38" t="inlineStr">
        <is>
          <t>meridian_commons_expense_ledger.csv</t>
        </is>
      </c>
    </row>
    <row r="39">
      <c r="A39" t="inlineStr">
        <is>
          <t>JE-9129</t>
        </is>
      </c>
      <c r="B39" t="inlineStr">
        <is>
          <t>6225</t>
        </is>
      </c>
      <c r="C39" t="inlineStr">
        <is>
          <t>ClimateWorks Mechanical</t>
        </is>
      </c>
      <c r="D39" t="n">
        <v>6983.51</v>
      </c>
      <c r="E39" t="inlineStr">
        <is>
          <t>eligible_cam</t>
        </is>
      </c>
      <c r="F39" t="inlineStr">
        <is>
          <t>meridian_commons_expense_ledger.csv</t>
        </is>
      </c>
    </row>
    <row r="40">
      <c r="A40" t="inlineStr">
        <is>
          <t>JE-9130</t>
        </is>
      </c>
      <c r="B40" t="inlineStr">
        <is>
          <t>6110</t>
        </is>
      </c>
      <c r="C40" t="inlineStr">
        <is>
          <t>Buckeye Power</t>
        </is>
      </c>
      <c r="D40" t="n">
        <v>8196.17</v>
      </c>
      <c r="E40" t="inlineStr">
        <is>
          <t>eligible_cam</t>
        </is>
      </c>
      <c r="F40" t="inlineStr">
        <is>
          <t>meridian_commons_expense_ledger.csv</t>
        </is>
      </c>
    </row>
    <row r="41">
      <c r="A41" t="inlineStr">
        <is>
          <t>JE-9131</t>
        </is>
      </c>
      <c r="B41" t="inlineStr">
        <is>
          <t>6120</t>
        </is>
      </c>
      <c r="C41" t="inlineStr">
        <is>
          <t>City of Columbus Utilities</t>
        </is>
      </c>
      <c r="D41" t="n">
        <v>9254.56</v>
      </c>
      <c r="E41" t="inlineStr">
        <is>
          <t>eligible_cam</t>
        </is>
      </c>
      <c r="F41" t="inlineStr">
        <is>
          <t>meridian_commons_expense_ledger.csv</t>
        </is>
      </c>
    </row>
    <row r="42">
      <c r="A42" t="inlineStr">
        <is>
          <t>JE-9132</t>
        </is>
      </c>
      <c r="B42" t="inlineStr">
        <is>
          <t>6130</t>
        </is>
      </c>
      <c r="C42" t="inlineStr">
        <is>
          <t>Republic Waste</t>
        </is>
      </c>
      <c r="D42" t="n">
        <v>14222.81</v>
      </c>
      <c r="E42" t="inlineStr">
        <is>
          <t>eligible_cam</t>
        </is>
      </c>
      <c r="F42" t="inlineStr">
        <is>
          <t>meridian_commons_expense_ledger.csv</t>
        </is>
      </c>
    </row>
    <row r="43">
      <c r="A43" t="inlineStr">
        <is>
          <t>JE-9133</t>
        </is>
      </c>
      <c r="B43" t="inlineStr">
        <is>
          <t>6140</t>
        </is>
      </c>
      <c r="C43" t="inlineStr">
        <is>
          <t>Northland Plow</t>
        </is>
      </c>
      <c r="D43" t="n">
        <v>16294.98</v>
      </c>
      <c r="E43" t="inlineStr">
        <is>
          <t>eligible_cam</t>
        </is>
      </c>
      <c r="F43" t="inlineStr">
        <is>
          <t>meridian_commons_expense_ledger.csv</t>
        </is>
      </c>
    </row>
    <row r="44">
      <c r="A44" t="inlineStr">
        <is>
          <t>JE-9134</t>
        </is>
      </c>
      <c r="B44" t="inlineStr">
        <is>
          <t>6150</t>
        </is>
      </c>
      <c r="C44" t="inlineStr">
        <is>
          <t>GreenRibbon Grounds</t>
        </is>
      </c>
      <c r="D44" t="n">
        <v>7124.3</v>
      </c>
      <c r="E44" t="inlineStr">
        <is>
          <t>eligible_cam</t>
        </is>
      </c>
      <c r="F44" t="inlineStr">
        <is>
          <t>meridian_commons_expense_ledger.csv</t>
        </is>
      </c>
    </row>
    <row r="45">
      <c r="A45" t="inlineStr">
        <is>
          <t>JE-9135</t>
        </is>
      </c>
      <c r="B45" t="inlineStr">
        <is>
          <t>6160</t>
        </is>
      </c>
      <c r="C45" t="inlineStr">
        <is>
          <t>Asphalt Partners OH</t>
        </is>
      </c>
      <c r="D45" t="n">
        <v>14511.65</v>
      </c>
      <c r="E45" t="inlineStr">
        <is>
          <t>eligible_cam</t>
        </is>
      </c>
      <c r="F45" t="inlineStr">
        <is>
          <t>meridian_commons_expense_ledger.csv</t>
        </is>
      </c>
    </row>
    <row r="47">
      <c r="A47" t="inlineStr">
        <is>
          <t>Eligible CAM pool</t>
        </is>
      </c>
      <c t="n" r="B47">
        <f>SUMIF(E4:E45,"eligible_cam",D4:D45)</f>
        <v>412680</v>
      </c>
    </row>
    <row r="48">
      <c r="A48" t="inlineStr">
        <is>
          <t>Excluded capital roof</t>
        </is>
      </c>
      <c r="B48" t="n">
        <v>186420</v>
      </c>
    </row>
    <row r="49">
      <c r="A49" t="inlineStr">
        <is>
          <t>Excluded capital HVAC</t>
        </is>
      </c>
      <c r="B49" t="n">
        <v>42850</v>
      </c>
    </row>
    <row r="50">
      <c r="A50" t="inlineStr">
        <is>
          <t>Excluded insurance</t>
        </is>
      </c>
      <c r="B50" t="n">
        <v>118600</v>
      </c>
    </row>
    <row r="51">
      <c r="A51" t="inlineStr">
        <is>
          <t>Excluded marketing from shared pool</t>
        </is>
      </c>
      <c r="B51" t="n">
        <v>27480</v>
      </c>
    </row>
    <row r="52">
      <c r="A52" t="inlineStr">
        <is>
          <t>Excluded duplicate EXP-4482</t>
        </is>
      </c>
      <c r="B52" t="n">
        <v>3240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suite</t>
        </is>
      </c>
      <c r="B1" s="1" t="inlineStr">
        <is>
          <t>tenant</t>
        </is>
      </c>
      <c r="C1" s="1" t="inlineStr">
        <is>
          <t>h1_alloc</t>
        </is>
      </c>
      <c r="D1" s="1" t="inlineStr">
        <is>
          <t>h2_alloc</t>
        </is>
      </c>
      <c r="E1" s="1" t="inlineStr">
        <is>
          <t>base_annual</t>
        </is>
      </c>
      <c r="F1" s="1" t="inlineStr">
        <is>
          <t>marketing_addon</t>
        </is>
      </c>
      <c r="G1" s="1" t="inlineStr">
        <is>
          <t>before_cap</t>
        </is>
      </c>
      <c r="H1" s="1" t="inlineStr">
        <is>
          <t>cam_cap</t>
        </is>
      </c>
      <c r="I1" s="1" t="inlineStr">
        <is>
          <t>charged</t>
        </is>
      </c>
      <c r="J1" s="1" t="inlineStr">
        <is>
          <t>prior_billed</t>
        </is>
      </c>
      <c r="K1" s="1" t="inlineStr">
        <is>
          <t>true_up</t>
        </is>
      </c>
      <c r="L1" s="1" t="inlineStr">
        <is>
          <t>action</t>
        </is>
      </c>
    </row>
    <row r="2">
      <c r="A2" t="inlineStr">
        <is>
          <t>T-101</t>
        </is>
      </c>
      <c r="B2" t="inlineStr">
        <is>
          <t>Harbor Coffee Co</t>
        </is>
      </c>
      <c r="C2" t="n">
        <v>21046.68</v>
      </c>
      <c r="D2" t="n">
        <v>21046.68</v>
      </c>
      <c t="n" r="E2">
        <f>C2+D2</f>
        <v>42093.36</v>
      </c>
      <c r="F2" t="n">
        <v>0</v>
      </c>
      <c t="n" r="G2">
        <f>E2+F2</f>
        <v>42093.36</v>
      </c>
      <c r="H2" t="inlineStr">
        <is>
          <t>None</t>
        </is>
      </c>
      <c t="n" r="I2">
        <f>G2</f>
        <v>42093.36</v>
      </c>
      <c r="J2" t="n">
        <v>43200</v>
      </c>
      <c t="n" r="K2">
        <f>I2-J2</f>
        <v>-1106.64</v>
      </c>
      <c r="L2" t="inlineStr">
        <is>
          <t>Credit</t>
        </is>
      </c>
    </row>
    <row r="3">
      <c r="A3" t="inlineStr">
        <is>
          <t>T-104</t>
        </is>
      </c>
      <c r="B3" t="inlineStr">
        <is>
          <t>Ridgeway Dental</t>
        </is>
      </c>
      <c r="C3" t="n">
        <v>35490.48</v>
      </c>
      <c r="D3" t="n">
        <v>35490.48</v>
      </c>
      <c t="n" r="E3">
        <f>C3+D3</f>
        <v>70980.96</v>
      </c>
      <c r="F3" t="n">
        <v>0</v>
      </c>
      <c t="n" r="G3">
        <f>E3+F3</f>
        <v>70980.96</v>
      </c>
      <c r="H3" t="n">
        <v>13774</v>
      </c>
      <c t="n" r="I3">
        <f>MIN(G3,H3)</f>
        <v>13774</v>
      </c>
      <c r="J3" t="n">
        <v>13774</v>
      </c>
      <c t="n" r="K3">
        <f>I3-J3</f>
        <v>0</v>
      </c>
      <c r="L3" t="inlineStr">
        <is>
          <t>No adjustment</t>
        </is>
      </c>
    </row>
    <row r="4">
      <c r="A4" t="inlineStr">
        <is>
          <t>T-107</t>
        </is>
      </c>
      <c r="B4" t="inlineStr">
        <is>
          <t>Meridian Outfitters</t>
        </is>
      </c>
      <c r="C4" t="n">
        <v>60114.9</v>
      </c>
      <c r="D4" t="n">
        <v>57658.72</v>
      </c>
      <c t="n" r="E4">
        <f>C4+D4</f>
        <v>117773.62</v>
      </c>
      <c r="F4" t="n">
        <v>6183</v>
      </c>
      <c t="n" r="G4">
        <f>E4+F4</f>
        <v>123956.62</v>
      </c>
      <c r="H4" t="inlineStr">
        <is>
          <t>None</t>
        </is>
      </c>
      <c t="n" r="I4">
        <f>G4</f>
        <v>123956.62</v>
      </c>
      <c r="J4" t="n">
        <v>98400</v>
      </c>
      <c t="n" r="K4">
        <f>I4-J4</f>
        <v>25556.62</v>
      </c>
      <c r="L4" t="inlineStr">
        <is>
          <t>Additional invoice</t>
        </is>
      </c>
    </row>
    <row r="5">
      <c r="A5" t="inlineStr">
        <is>
          <t>T-112</t>
        </is>
      </c>
      <c r="B5" t="inlineStr">
        <is>
          <t>Lakeside Books</t>
        </is>
      </c>
      <c r="C5" t="n">
        <v>22697.4</v>
      </c>
      <c r="D5" t="n">
        <v>22697.4</v>
      </c>
      <c t="n" r="E5">
        <f>C5+D5</f>
        <v>45394.8</v>
      </c>
      <c r="F5" t="n">
        <v>0</v>
      </c>
      <c t="n" r="G5">
        <f>E5+F5</f>
        <v>45394.8</v>
      </c>
      <c r="H5" t="inlineStr">
        <is>
          <t>None</t>
        </is>
      </c>
      <c t="n" r="I5">
        <f>G5</f>
        <v>45394.8</v>
      </c>
      <c r="J5" t="n">
        <v>46800</v>
      </c>
      <c t="n" r="K5">
        <f>I5-J5</f>
        <v>-1405.2</v>
      </c>
      <c r="L5" t="inlineStr">
        <is>
          <t>Credit</t>
        </is>
      </c>
    </row>
    <row r="6">
      <c r="A6" t="inlineStr">
        <is>
          <t>T-118</t>
        </is>
      </c>
      <c r="B6" t="inlineStr">
        <is>
          <t>Contour Fitness</t>
        </is>
      </c>
      <c r="C6" t="n">
        <v>48626.28</v>
      </c>
      <c r="D6" t="n">
        <v>69446.72</v>
      </c>
      <c t="n" r="E6">
        <f>C6+D6</f>
        <v>118073</v>
      </c>
      <c r="F6" t="n">
        <v>0</v>
      </c>
      <c t="n" r="G6">
        <f>E6+F6</f>
        <v>118073</v>
      </c>
      <c r="H6" t="inlineStr">
        <is>
          <t>None</t>
        </is>
      </c>
      <c t="n" r="I6">
        <f>G6</f>
        <v>118073</v>
      </c>
      <c r="J6" t="n">
        <v>92160</v>
      </c>
      <c t="n" r="K6">
        <f>I6-J6</f>
        <v>25913</v>
      </c>
      <c r="L6" t="inlineStr">
        <is>
          <t>Additional invoice</t>
        </is>
      </c>
    </row>
    <row r="8">
      <c r="A8" t="inlineStr">
        <is>
          <t>Total true-up (net additional billings)</t>
        </is>
      </c>
      <c t="n" r="B8">
        <f>SUM(K2:K6)</f>
        <v>48957.78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exception_type</t>
        </is>
      </c>
      <c r="B1" s="1" t="inlineStr">
        <is>
          <t>reference</t>
        </is>
      </c>
      <c r="C1" s="1" t="inlineStr">
        <is>
          <t>amount</t>
        </is>
      </c>
      <c r="D1" s="1" t="inlineStr">
        <is>
          <t>treatment</t>
        </is>
      </c>
      <c r="E1" s="1" t="inlineStr">
        <is>
          <t>source</t>
        </is>
      </c>
    </row>
    <row r="2">
      <c r="A2" t="inlineStr">
        <is>
          <t>Capital roof in R&amp;M</t>
        </is>
      </c>
      <c r="B2" t="inlineStr">
        <is>
          <t>SR-4419 / JE-9001</t>
        </is>
      </c>
      <c r="C2" t="n">
        <v>186420</v>
      </c>
      <c r="D2" t="inlineStr">
        <is>
          <t>Excluded from CAM pool</t>
        </is>
      </c>
      <c r="E2" t="inlineStr">
        <is>
          <t>meridian_commons_expense_ledger.csv; tenant_lease_abstracts.xlsx Abstract Notes</t>
        </is>
      </c>
    </row>
    <row r="3">
      <c r="A3" t="inlineStr">
        <is>
          <t>Capital HVAC replacement</t>
        </is>
      </c>
      <c r="B3" t="inlineStr">
        <is>
          <t>CW-2281 / JE-9002</t>
        </is>
      </c>
      <c r="C3" t="n">
        <v>42850</v>
      </c>
      <c r="D3" t="inlineStr">
        <is>
          <t>Excluded from CAM pool</t>
        </is>
      </c>
      <c r="E3" t="inlineStr">
        <is>
          <t>meridian_commons_expense_ledger.csv; tenant_lease_abstracts.xlsx Abstract Notes</t>
        </is>
      </c>
    </row>
    <row r="4">
      <c r="A4" t="inlineStr">
        <is>
          <t>Duplicate landscaping invoice</t>
        </is>
      </c>
      <c r="B4" t="inlineStr">
        <is>
          <t>EXP-4482</t>
        </is>
      </c>
      <c r="C4" t="n">
        <v>3240</v>
      </c>
      <c r="D4" t="inlineStr">
        <is>
          <t>Count once; exclude JE-9006 repost</t>
        </is>
      </c>
      <c r="E4" t="inlineStr">
        <is>
          <t>meridian_commons_expense_ledger.csv</t>
        </is>
      </c>
    </row>
    <row r="5">
      <c r="A5" t="inlineStr">
        <is>
          <t>Property insurance separately billed</t>
        </is>
      </c>
      <c r="B5" t="inlineStr">
        <is>
          <t>MM-2025-PREM</t>
        </is>
      </c>
      <c r="C5" t="n">
        <v>118600</v>
      </c>
      <c r="D5" t="inlineStr">
        <is>
          <t>Excluded from CAM pool</t>
        </is>
      </c>
      <c r="E5" t="inlineStr">
        <is>
          <t>meridian_commons_expense_ledger.csv; tenant_lease_abstracts.xlsx</t>
        </is>
      </c>
    </row>
    <row r="6">
      <c r="A6" t="inlineStr">
        <is>
          <t>Marketing excluded from shared pool</t>
        </is>
      </c>
      <c r="B6" t="inlineStr">
        <is>
          <t>MKT-2025-Q2</t>
        </is>
      </c>
      <c r="C6" t="n">
        <v>27480</v>
      </c>
      <c r="D6" t="inlineStr">
        <is>
          <t>Add Meridian Outfitters pro-rata only</t>
        </is>
      </c>
      <c r="E6" t="inlineStr">
        <is>
          <t>tenant_lease_abstracts.xlsx CAM Provisions</t>
        </is>
      </c>
    </row>
    <row r="7">
      <c r="A7" t="inlineStr">
        <is>
          <t>Ridgeway Dental CAM cap</t>
        </is>
      </c>
      <c r="B7" t="inlineStr">
        <is>
          <t>T-104</t>
        </is>
      </c>
      <c r="C7" t="n">
        <v>13774</v>
      </c>
      <c r="D7" t="inlineStr">
        <is>
          <t>Charge limited to $4.85/SF × 2,840 SF</t>
        </is>
      </c>
      <c r="E7" t="inlineStr">
        <is>
          <t>tenant_lease_abstracts.xlsx CAM Provisions</t>
        </is>
      </c>
    </row>
    <row r="8">
      <c r="A8" t="inlineStr">
        <is>
          <t>Contour mid-year expansion</t>
        </is>
      </c>
      <c r="B8" t="inlineStr">
        <is>
          <t>T-118</t>
        </is>
      </c>
      <c r="C8" t="n">
        <v>25913</v>
      </c>
      <c r="D8" t="inlineStr">
        <is>
          <t>H1 at 18.2%, H2 at 27.1%; prior billings used 18.2% all year</t>
        </is>
      </c>
      <c r="E8" t="inlineStr">
        <is>
          <t>tenant_lease_abstracts.xlsx; prior_cam_billing_register.txt</t>
        </is>
      </c>
    </row>
    <row r="9">
      <c r="A9" t="inlineStr">
        <is>
          <t>Vacancy absorption split</t>
        </is>
      </c>
      <c r="B9" t="inlineStr">
        <is>
          <t>T-122 + H1 expansion-held</t>
        </is>
      </c>
      <c r="C9" t="n">
        <v>67885.86</v>
      </c>
      <c r="D9" t="inlineStr">
        <is>
          <t>Outfitters and Contour absorb vacancy; other tenants owner-absorb</t>
        </is>
      </c>
      <c r="E9" t="inlineStr">
        <is>
          <t>tenant_lease_abstracts.xlsx CAM Provisions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Controller recommendation — Meridian Commons 2025 CAM true-up</t>
        </is>
      </c>
    </row>
    <row r="3">
      <c r="A3" t="inlineStr">
        <is>
          <t>Eligible shared CAM pool</t>
        </is>
      </c>
      <c t="n" r="B3">
        <f>'Expense Pool'!B47</f>
        <v>412680</v>
      </c>
    </row>
    <row r="4">
      <c r="A4" t="inlineStr">
        <is>
          <t>Net additional billings / (credits)</t>
        </is>
      </c>
      <c t="n" r="B4">
        <f>'Tenant True-up'!B8</f>
        <v>48957.78</v>
      </c>
    </row>
    <row r="6">
      <c r="A6" t="inlineStr">
        <is>
          <t>Recommendation</t>
        </is>
      </c>
    </row>
    <row r="7">
      <c r="A7" t="inlineStr">
        <is>
          <t>Issue CAM credit to Harbor Coffee Co (T-101) for $1,106.64. Issue additional CAM invoice to Meridian Outfitters (T-107) for $25,556.62. Issue CAM credit to Lakeside Books (T-112) for $1,405.20. Issue additional CAM invoice to Contour Fitness (T-118) for $25,913.00. Do not bill capital roof or HVAC replacement as CAM. Apply Ridgeway Dental's $4.85/SF cap. Contour Fitness true-up reflects the July expansion documented in tenant_lease_abstracts.xlsx and under-billing noted in prior_cam_billing_register.txt. For 2026 estimate assumptions: (1) update Contour's share in the billing system on expansion effective dates, (2) hold Ridgeway estimates at the lease CAM cap until abstracts change, and (3) exclude capital rounds and separately billed insurance from the shared CAM forecast.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erms:created xsi:type="dcterms:W3CDTF">2026-09-03T09:01:43Z</dcterms:created>
  <dcterms:modified xsi:type="dcterms:W3CDTF">2026-09-03T09:01:43Z</dcterms:modified>
</cp:coreProperties>
</file>