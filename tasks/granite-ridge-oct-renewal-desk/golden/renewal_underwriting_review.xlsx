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ount_Routing" sheetId="2" state="visible" r:id="rId2"/>
    <sheet name="Location_Exceptions" sheetId="3" state="visible" r:id="rId3"/>
    <sheet name="Loss_Reconciliation" sheetId="4" state="visible" r:id="rId4"/>
    <sheet name="Rules_Citations" sheetId="5" state="visible" r:id="rId5"/>
    <sheet name="Account_Source" sheetId="6" state="visible" r:id="rId6"/>
    <sheet name="Loss_Run" sheetId="7" state="visible" r:id="rId7"/>
  </sheets>
  <definedNames>
    <definedName name="_xlnm.Print_Area" localSheetId="0">'Summary'!$A$1:$B$8</definedName>
    <definedName name="_xlnm._FilterDatabase" localSheetId="1" hidden="1">'Account_Routing'!$A$1:$G$37</definedName>
    <definedName name="_xlnm.Print_Titles" localSheetId="1">'Account_Routing'!$1:$1</definedName>
    <definedName name="_xlnm.Print_Area" localSheetId="1">'Account_Routing'!$A$1:$G$37</definedName>
    <definedName name="_xlnm._FilterDatabase" localSheetId="2" hidden="1">'Location_Exceptions'!$A$1:$E$11</definedName>
    <definedName name="_xlnm.Print_Titles" localSheetId="2">'Location_Exceptions'!$1:$1</definedName>
    <definedName name="_xlnm.Print_Area" localSheetId="2">'Location_Exceptions'!$A$1:$E$11</definedName>
    <definedName name="_xlnm._FilterDatabase" localSheetId="3" hidden="1">'Loss_Reconciliation'!$A$1:$E$31</definedName>
    <definedName name="_xlnm.Print_Titles" localSheetId="3">'Loss_Reconciliation'!$1:$1</definedName>
    <definedName name="_xlnm.Print_Area" localSheetId="3">'Loss_Reconciliation'!$A$1:$E$31</definedName>
    <definedName name="_xlnm._FilterDatabase" localSheetId="4" hidden="1">'Rules_Citations'!$A$1:$C$11</definedName>
    <definedName name="_xlnm.Print_Titles" localSheetId="4">'Rules_Citations'!$1:$1</definedName>
    <definedName name="_xlnm.Print_Area" localSheetId="4">'Rules_Citations'!$A$1:$C$11</definedName>
    <definedName name="_xlnm._FilterDatabase" localSheetId="5" hidden="1">'Account_Source'!$A$1:$D$37</definedName>
    <definedName name="_xlnm.Print_Titles" localSheetId="5">'Account_Source'!$1:$1</definedName>
    <definedName name="_xlnm.Print_Area" localSheetId="5">'Account_Source'!$A$1:$D$37</definedName>
    <definedName name="_xlnm._FilterDatabase" localSheetId="6" hidden="1">'Loss_Run'!$A$1:$G$43</definedName>
    <definedName name="_xlnm.Print_Titles" localSheetId="6">'Loss_Run'!$1:$1</definedName>
    <definedName name="_xlnm.Print_Area" localSheetId="6">'Loss_Run'!$A$1:$G$43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October renewal batch disposition summary</t>
        </is>
      </c>
    </row>
    <row r="2">
      <c r="A2" s="2" t="inlineStr">
        <is>
          <t>Accounts reviewed</t>
        </is>
      </c>
      <c r="B2" t="n" s="3">
        <f>COUNTA(Account_Routing!A2:A40)</f>
        <v>36</v>
      </c>
    </row>
    <row r="3">
      <c r="A3" s="2" t="inlineStr">
        <is>
          <t>Quote</t>
        </is>
      </c>
      <c r="B3" t="n" s="3">
        <f>COUNTIF(Account_Routing!F2:F100,"Quote")</f>
        <v>25</v>
      </c>
    </row>
    <row r="4">
      <c r="A4" s="2" t="inlineStr">
        <is>
          <t>Refer</t>
        </is>
      </c>
      <c r="B4" t="n" s="3">
        <f>COUNTIF(Account_Routing!F2:F100,"Refer")</f>
        <v>9</v>
      </c>
    </row>
    <row r="5">
      <c r="A5" s="2" t="inlineStr">
        <is>
          <t>Decline</t>
        </is>
      </c>
      <c r="B5" t="n" s="3">
        <f>COUNTIF(Account_Routing!F2:F100,"Decline")</f>
        <v>1</v>
      </c>
    </row>
    <row r="6">
      <c r="A6" s="2" t="inlineStr">
        <is>
          <t>Ask Broker</t>
        </is>
      </c>
      <c r="B6" t="n" s="3">
        <f>COUNTIF(Account_Routing!F2:F100,"Ask Broker")</f>
        <v>1</v>
      </c>
    </row>
    <row r="7"/>
    <row r="8">
      <c r="A8" s="2" t="inlineStr">
        <is>
          <t>Subsidized locations flagged</t>
        </is>
      </c>
      <c r="B8" t="n" s="3">
        <f>COUNTIF(Location_Exceptions!C2:C200,"Subsidized housing endorsement required")</f>
        <v>3</v>
      </c>
    </row>
  </sheetData>
  <mergeCells count="1">
    <mergeCell ref="A1:B1"/>
  </mergeCells>
  <pageMargins left="0.5" right="0.5" top="0.5" bottom="0.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3" customWidth="1" min="4" max="4"/>
    <col width="16" customWidth="1" min="5" max="5"/>
    <col width="12" customWidth="1" min="6" max="6"/>
    <col width="62" customWidth="1" min="7" max="7"/>
  </cols>
  <sheetData>
    <row r="1" ht="28" customHeight="1">
      <c r="A1" s="4" t="inlineStr">
        <is>
          <t>account_id</t>
        </is>
      </c>
      <c r="B1" s="4" t="inlineStr">
        <is>
          <t>named_insured</t>
        </is>
      </c>
      <c r="C1" s="4" t="inlineStr">
        <is>
          <t>expiring_premium</t>
        </is>
      </c>
      <c r="D1" s="4" t="inlineStr">
        <is>
          <t>list_loss_ratio</t>
        </is>
      </c>
      <c r="E1" s="4" t="inlineStr">
        <is>
          <t>recomputed_loss_ratio</t>
        </is>
      </c>
      <c r="F1" s="4" t="inlineStr">
        <is>
          <t>disposition</t>
        </is>
      </c>
      <c r="G1" s="4" t="inlineStr">
        <is>
          <t>rationale</t>
        </is>
      </c>
    </row>
    <row r="2" ht="45" customHeight="1">
      <c r="A2" s="5" t="inlineStr">
        <is>
          <t>GR-2001</t>
        </is>
      </c>
      <c r="B2" s="5" t="inlineStr">
        <is>
          <t>Ashland Court Apts LP</t>
        </is>
      </c>
      <c r="C2" t="n" s="5">
        <f>Account_Source!C2</f>
        <v>55299.51</v>
      </c>
      <c r="D2" t="n" s="5">
        <f>Account_Source!D2</f>
        <v>25.9</v>
      </c>
      <c r="E2" t="n" s="5">
        <f>IF(C2=0,"",ROUND(SUMIFS(Loss_Run!$G$2:$G$120,Loss_Run!$B$2:$B$120,$A2,Loss_Run!$F$2:$F$120,"")/C2*100,1))</f>
        <v>11.3</v>
      </c>
      <c r="F2" s="5" t="inlineStr">
        <is>
          <t>Quote</t>
        </is>
      </c>
      <c r="G2" s="6" t="inlineStr">
        <is>
          <t>Loss ratio and location checks clear under granite_ridge_routing_notes.txt with no pending broker items.</t>
        </is>
      </c>
    </row>
    <row r="3" ht="45" customHeight="1">
      <c r="A3" s="5" t="inlineStr">
        <is>
          <t>GR-2004</t>
        </is>
      </c>
      <c r="B3" s="5" t="inlineStr">
        <is>
          <t>Berwyn Arms LLC</t>
        </is>
      </c>
      <c r="C3" t="n" s="5">
        <f>Account_Source!C3</f>
        <v>75553.66</v>
      </c>
      <c r="D3" t="n" s="5">
        <f>Account_Source!D3</f>
        <v>12.8</v>
      </c>
      <c r="E3" t="n" s="5">
        <f>IF(C3=0,"",ROUND(SUMIFS(Loss_Run!$G$2:$G$120,Loss_Run!$B$2:$B$120,$A3,Loss_Run!$F$2:$F$120,"")/C3*100,1))</f>
        <v>26.4</v>
      </c>
      <c r="F3" s="5" t="inlineStr">
        <is>
          <t>Quote</t>
        </is>
      </c>
      <c r="G3" s="6" t="inlineStr">
        <is>
          <t>Renewal-ready at summary level confirmed once location schedule and loss run were reconciled.</t>
        </is>
      </c>
    </row>
    <row r="4" ht="45" customHeight="1">
      <c r="A4" s="5" t="inlineStr">
        <is>
          <t>GR-2007</t>
        </is>
      </c>
      <c r="B4" s="5" t="inlineStr">
        <is>
          <t>Campus Edge Housing Co.</t>
        </is>
      </c>
      <c r="C4" t="n" s="5">
        <f>Account_Source!C4</f>
        <v>67915.72</v>
      </c>
      <c r="D4" t="n" s="5">
        <f>Account_Source!D4</f>
        <v>17.9</v>
      </c>
      <c r="E4" t="n" s="5">
        <f>IF(C4=0,"",ROUND(SUMIFS(Loss_Run!$G$2:$G$120,Loss_Run!$B$2:$B$120,$A4,Loss_Run!$F$2:$F$120,"")/C4*100,1))</f>
        <v>13.7</v>
      </c>
      <c r="F4" s="5" t="inlineStr">
        <is>
          <t>Refer</t>
        </is>
      </c>
      <c r="G4" s="6" t="inlineStr">
        <is>
          <t>Section 10 refer: Campus Edge student-housing account — GRP-APPETITE review must be submitted before bind per granite_ridge_routing_notes.txt</t>
        </is>
      </c>
    </row>
    <row r="5" ht="45" customHeight="1">
      <c r="A5" s="5" t="inlineStr">
        <is>
          <t>GR-2010</t>
        </is>
      </c>
      <c r="B5" s="5" t="inlineStr">
        <is>
          <t>Damen Square Residences</t>
        </is>
      </c>
      <c r="C5" t="n" s="5">
        <f>Account_Source!C5</f>
        <v>87072.61</v>
      </c>
      <c r="D5" t="n" s="5">
        <f>Account_Source!D5</f>
        <v>17.1</v>
      </c>
      <c r="E5" t="n" s="5">
        <f>IF(C5=0,"",ROUND(SUMIFS(Loss_Run!$G$2:$G$120,Loss_Run!$B$2:$B$120,$A5,Loss_Run!$F$2:$F$120,"")/C5*100,1))</f>
        <v>6.1</v>
      </c>
      <c r="F5" s="5" t="inlineStr">
        <is>
          <t>Quote</t>
        </is>
      </c>
      <c r="G5" s="6" t="inlineStr">
        <is>
          <t>No Section 3-6 referral triggers after reconciling granite_ridge_loss_run_36mo.csv and granite_ridge_location_schedule.csv.</t>
        </is>
      </c>
    </row>
    <row r="6" ht="45" customHeight="1">
      <c r="A6" s="5" t="inlineStr">
        <is>
          <t>GR-2013</t>
        </is>
      </c>
      <c r="B6" s="5" t="inlineStr">
        <is>
          <t>Eastgate Manor LLC</t>
        </is>
      </c>
      <c r="C6" t="n" s="5">
        <f>Account_Source!C6</f>
        <v>55911.94</v>
      </c>
      <c r="D6" t="n" s="5">
        <f>Account_Source!D6</f>
        <v>20.5</v>
      </c>
      <c r="E6" t="n" s="5">
        <f>IF(C6=0,"",ROUND(SUMIFS(Loss_Run!$G$2:$G$120,Loss_Run!$B$2:$B$120,$A6,Loss_Run!$F$2:$F$120,"")/C6*100,1))</f>
        <v>22.2</v>
      </c>
      <c r="F6" s="5" t="inlineStr">
        <is>
          <t>Quote</t>
        </is>
      </c>
      <c r="G6" s="6" t="inlineStr">
        <is>
          <t>Attritional loss history within appetite after reconciling granite_ridge_loss_run_36mo.csv; no referral triggers active.</t>
        </is>
      </c>
    </row>
    <row r="7" ht="45" customHeight="1">
      <c r="A7" s="5" t="inlineStr">
        <is>
          <t>GR-2016</t>
        </is>
      </c>
      <c r="B7" s="5" t="inlineStr">
        <is>
          <t>Fairmount Village Apts</t>
        </is>
      </c>
      <c r="C7" t="n" s="5">
        <f>Account_Source!C7</f>
        <v>67173.6</v>
      </c>
      <c r="D7" t="n" s="5">
        <f>Account_Source!D7</f>
        <v>30.2</v>
      </c>
      <c r="E7" t="n" s="5">
        <f>IF(C7=0,"",ROUND(SUMIFS(Loss_Run!$G$2:$G$120,Loss_Run!$B$2:$B$120,$A7,Loss_Run!$F$2:$F$120,"")/C7*100,1))</f>
        <v>18.1</v>
      </c>
      <c r="F7" s="5" t="inlineStr">
        <is>
          <t>Quote</t>
        </is>
      </c>
      <c r="G7" s="6" t="inlineStr">
        <is>
          <t>Loss ratio and location checks clear under granite_ridge_routing_notes.txt with no pending broker items.</t>
        </is>
      </c>
    </row>
    <row r="8" ht="45" customHeight="1">
      <c r="A8" s="5" t="inlineStr">
        <is>
          <t>GR-2018</t>
        </is>
      </c>
      <c r="B8" s="5" t="inlineStr">
        <is>
          <t>Glenwood Terrace LLC</t>
        </is>
      </c>
      <c r="C8" t="n" s="5">
        <f>Account_Source!C8</f>
        <v>54820</v>
      </c>
      <c r="D8" t="n" s="5">
        <f>Account_Source!D8</f>
        <v>18.6</v>
      </c>
      <c r="E8" t="n" s="5">
        <f>IF(C8=0,"",ROUND(SUMIFS(Loss_Run!$G$2:$G$120,Loss_Run!$B$2:$B$120,$A8,Loss_Run!$F$2:$F$120,"")/C8*100,1))</f>
        <v>9.9</v>
      </c>
      <c r="F8" s="5" t="inlineStr">
        <is>
          <t>Quote</t>
        </is>
      </c>
      <c r="G8" s="6" t="inlineStr">
        <is>
          <t>Attritional loss history within appetite after reconciling granite_ridge_loss_run_36mo.csv; no referral triggers active.</t>
        </is>
      </c>
    </row>
    <row r="9" ht="45" customHeight="1">
      <c r="A9" s="5" t="inlineStr">
        <is>
          <t>GR-2021</t>
        </is>
      </c>
      <c r="B9" s="5" t="inlineStr">
        <is>
          <t>Halsted Walkup Partners</t>
        </is>
      </c>
      <c r="C9" t="n" s="5">
        <f>Account_Source!C9</f>
        <v>69181.2</v>
      </c>
      <c r="D9" t="n" s="5">
        <f>Account_Source!D9</f>
        <v>26.8</v>
      </c>
      <c r="E9" t="n" s="5">
        <f>IF(C9=0,"",ROUND(SUMIFS(Loss_Run!$G$2:$G$120,Loss_Run!$B$2:$B$120,$A9,Loss_Run!$F$2:$F$120,"")/C9*100,1))</f>
        <v>16.5</v>
      </c>
      <c r="F9" s="5" t="inlineStr">
        <is>
          <t>Quote</t>
        </is>
      </c>
      <c r="G9" s="6" t="inlineStr">
        <is>
          <t>Loss ratio and location checks clear under granite_ridge_routing_notes.txt with no pending broker items.</t>
        </is>
      </c>
    </row>
    <row r="10" ht="45" customHeight="1">
      <c r="A10" s="5" t="inlineStr">
        <is>
          <t>GR-2024</t>
        </is>
      </c>
      <c r="B10" s="5" t="inlineStr">
        <is>
          <t>Irving Park Rentals Inc</t>
        </is>
      </c>
      <c r="C10" t="n" s="5">
        <f>Account_Source!C10</f>
        <v>67304.53</v>
      </c>
      <c r="D10" t="n" s="5">
        <f>Account_Source!D10</f>
        <v>17.4</v>
      </c>
      <c r="E10" t="n" s="5">
        <f>IF(C10=0,"",ROUND(SUMIFS(Loss_Run!$G$2:$G$120,Loss_Run!$B$2:$B$120,$A10,Loss_Run!$F$2:$F$120,"")/C10*100,1))</f>
        <v>27.7</v>
      </c>
      <c r="F10" s="5" t="inlineStr">
        <is>
          <t>Quote</t>
        </is>
      </c>
      <c r="G10" s="6" t="inlineStr">
        <is>
          <t>Renewal-ready at summary level confirmed once location schedule and loss run were reconciled.</t>
        </is>
      </c>
    </row>
    <row r="11" ht="45" customHeight="1">
      <c r="A11" s="5" t="inlineStr">
        <is>
          <t>GR-2027</t>
        </is>
      </c>
      <c r="B11" s="5" t="inlineStr">
        <is>
          <t>Jefferson Grove MF LLC</t>
        </is>
      </c>
      <c r="C11" t="n" s="5">
        <f>Account_Source!C11</f>
        <v>53257.33</v>
      </c>
      <c r="D11" t="n" s="5">
        <f>Account_Source!D11</f>
        <v>21.6</v>
      </c>
      <c r="E11" t="n" s="5">
        <f>IF(C11=0,"",ROUND(SUMIFS(Loss_Run!$G$2:$G$120,Loss_Run!$B$2:$B$120,$A11,Loss_Run!$F$2:$F$120,"")/C11*100,1))</f>
        <v>11.6</v>
      </c>
      <c r="F11" s="5" t="inlineStr">
        <is>
          <t>Quote</t>
        </is>
      </c>
      <c r="G11" s="6" t="inlineStr">
        <is>
          <t>Account summary ties to location detail; no inspection, vacancy, or subsidized-housing flags require referral.</t>
        </is>
      </c>
    </row>
    <row r="12" ht="45" customHeight="1">
      <c r="A12" s="5" t="inlineStr">
        <is>
          <t>GR-2030</t>
        </is>
      </c>
      <c r="B12" s="5" t="inlineStr">
        <is>
          <t>Kenwood Station Apts</t>
        </is>
      </c>
      <c r="C12" t="n" s="5">
        <f>Account_Source!C12</f>
        <v>62730.46</v>
      </c>
      <c r="D12" t="n" s="5">
        <f>Account_Source!D12</f>
        <v>21.9</v>
      </c>
      <c r="E12" t="n" s="5">
        <f>IF(C12=0,"",ROUND(SUMIFS(Loss_Run!$G$2:$G$120,Loss_Run!$B$2:$B$120,$A12,Loss_Run!$F$2:$F$120,"")/C12*100,1))</f>
        <v>9.4</v>
      </c>
      <c r="F12" s="5" t="inlineStr">
        <is>
          <t>Quote</t>
        </is>
      </c>
      <c r="G12" s="6" t="inlineStr">
        <is>
          <t>No Section 3-6 referral triggers after reconciling granite_ridge_loss_run_36mo.csv and granite_ridge_location_schedule.csv.</t>
        </is>
      </c>
    </row>
    <row r="13" ht="45" customHeight="1">
      <c r="A13" s="5" t="inlineStr">
        <is>
          <t>GR-2033</t>
        </is>
      </c>
      <c r="B13" s="5" t="inlineStr">
        <is>
          <t>Lincolnwood Place LLC</t>
        </is>
      </c>
      <c r="C13" t="n" s="5">
        <f>Account_Source!C13</f>
        <v>52180</v>
      </c>
      <c r="D13" t="n" s="5">
        <f>Account_Source!D13</f>
        <v>19.2</v>
      </c>
      <c r="E13" t="n" s="5">
        <f>IF(C13=0,"",ROUND(SUMIFS(Loss_Run!$G$2:$G$120,Loss_Run!$B$2:$B$120,$A13,Loss_Run!$F$2:$F$120,"")/C13*100,1))</f>
        <v>11.7</v>
      </c>
      <c r="F13" s="5" t="inlineStr">
        <is>
          <t>Ask Broker</t>
        </is>
      </c>
      <c r="G13" s="6" t="inlineStr">
        <is>
          <t>Section 6 Ask Broker: HAB-2033-B vacancy without broker confirmation</t>
        </is>
      </c>
    </row>
    <row r="14" ht="45" customHeight="1">
      <c r="A14" s="5" t="inlineStr">
        <is>
          <t>GR-2036</t>
        </is>
      </c>
      <c r="B14" s="5" t="inlineStr">
        <is>
          <t>Monon Trail Residences</t>
        </is>
      </c>
      <c r="C14" t="n" s="5">
        <f>Account_Source!C14</f>
        <v>52729.12</v>
      </c>
      <c r="D14" t="n" s="5">
        <f>Account_Source!D14</f>
        <v>13.1</v>
      </c>
      <c r="E14" t="n" s="5">
        <f>IF(C14=0,"",ROUND(SUMIFS(Loss_Run!$G$2:$G$120,Loss_Run!$B$2:$B$120,$A14,Loss_Run!$F$2:$F$120,"")/C14*100,1))</f>
        <v>20.9</v>
      </c>
      <c r="F14" s="5" t="inlineStr">
        <is>
          <t>Quote</t>
        </is>
      </c>
      <c r="G14" s="6" t="inlineStr">
        <is>
          <t>Loss ratio and location checks clear under granite_ridge_routing_notes.txt with no pending broker items.</t>
        </is>
      </c>
    </row>
    <row r="15" ht="45" customHeight="1">
      <c r="A15" s="5" t="inlineStr">
        <is>
          <t>GR-2039</t>
        </is>
      </c>
      <c r="B15" s="5" t="inlineStr">
        <is>
          <t>Norwood Court Apts</t>
        </is>
      </c>
      <c r="C15" t="n" s="5">
        <f>Account_Source!C15</f>
        <v>54743.51</v>
      </c>
      <c r="D15" t="n" s="5">
        <f>Account_Source!D15</f>
        <v>13.5</v>
      </c>
      <c r="E15" t="n" s="5">
        <f>IF(C15=0,"",ROUND(SUMIFS(Loss_Run!$G$2:$G$120,Loss_Run!$B$2:$B$120,$A15,Loss_Run!$F$2:$F$120,"")/C15*100,1))</f>
        <v>17.3</v>
      </c>
      <c r="F15" s="5" t="inlineStr">
        <is>
          <t>Quote</t>
        </is>
      </c>
      <c r="G15" s="6" t="inlineStr">
        <is>
          <t>Renewal-ready at summary level confirmed once location schedule and loss run were reconciled.</t>
        </is>
      </c>
    </row>
    <row r="16" ht="45" customHeight="1">
      <c r="A16" s="5" t="inlineStr">
        <is>
          <t>GR-2042</t>
        </is>
      </c>
      <c r="B16" s="5" t="inlineStr">
        <is>
          <t>Ottawa River Flats</t>
        </is>
      </c>
      <c r="C16" t="n" s="5">
        <f>Account_Source!C16</f>
        <v>68307.56</v>
      </c>
      <c r="D16" t="n" s="5">
        <f>Account_Source!D16</f>
        <v>16.3</v>
      </c>
      <c r="E16" t="n" s="5">
        <f>IF(C16=0,"",ROUND(SUMIFS(Loss_Run!$G$2:$G$120,Loss_Run!$B$2:$B$120,$A16,Loss_Run!$F$2:$F$120,"")/C16*100,1))</f>
        <v>25.9</v>
      </c>
      <c r="F16" s="5" t="inlineStr">
        <is>
          <t>Quote</t>
        </is>
      </c>
      <c r="G16" s="6" t="inlineStr">
        <is>
          <t>Account summary ties to location detail; no inspection, vacancy, or subsidized-housing flags require referral.</t>
        </is>
      </c>
    </row>
    <row r="17" ht="45" customHeight="1">
      <c r="A17" s="5" t="inlineStr">
        <is>
          <t>GR-2045</t>
        </is>
      </c>
      <c r="B17" s="5" t="inlineStr">
        <is>
          <t>Pullman Yard Housing</t>
        </is>
      </c>
      <c r="C17" t="n" s="5">
        <f>Account_Source!C17</f>
        <v>95337.43</v>
      </c>
      <c r="D17" t="n" s="5">
        <f>Account_Source!D17</f>
        <v>27.2</v>
      </c>
      <c r="E17" t="n" s="5">
        <f>IF(C17=0,"",ROUND(SUMIFS(Loss_Run!$G$2:$G$120,Loss_Run!$B$2:$B$120,$A17,Loss_Run!$F$2:$F$120,"")/C17*100,1))</f>
        <v>13.6</v>
      </c>
      <c r="F17" s="5" t="inlineStr">
        <is>
          <t>Quote</t>
        </is>
      </c>
      <c r="G17" s="6" t="inlineStr">
        <is>
          <t>No Section 3-6 referral triggers after reconciling granite_ridge_loss_run_36mo.csv and granite_ridge_location_schedule.csv.</t>
        </is>
      </c>
    </row>
    <row r="18" ht="45" customHeight="1">
      <c r="A18" s="5" t="inlineStr">
        <is>
          <t>GR-2047</t>
        </is>
      </c>
      <c r="B18" s="5" t="inlineStr">
        <is>
          <t>Quincy Street Apts LLC</t>
        </is>
      </c>
      <c r="C18" t="n" s="5">
        <f>Account_Source!C18</f>
        <v>61240</v>
      </c>
      <c r="D18" t="n" s="5">
        <f>Account_Source!D18</f>
        <v>21.3</v>
      </c>
      <c r="E18" t="n" s="5">
        <f>IF(C18=0,"",ROUND(SUMIFS(Loss_Run!$G$2:$G$120,Loss_Run!$B$2:$B$120,$A18,Loss_Run!$F$2:$F$120,"")/C18*100,1))</f>
        <v>7.8</v>
      </c>
      <c r="F18" s="5" t="inlineStr">
        <is>
          <t>Quote</t>
        </is>
      </c>
      <c r="G18" s="6" t="inlineStr">
        <is>
          <t>Account summary ties to location detail; no inspection, vacancy, or subsidized-housing flags require referral.</t>
        </is>
      </c>
    </row>
    <row r="19" ht="45" customHeight="1">
      <c r="A19" s="5" t="inlineStr">
        <is>
          <t>GR-2050</t>
        </is>
      </c>
      <c r="B19" s="5" t="inlineStr">
        <is>
          <t>Ravenswood Arms Co.</t>
        </is>
      </c>
      <c r="C19" t="n" s="5">
        <f>Account_Source!C19</f>
        <v>80785.72</v>
      </c>
      <c r="D19" t="n" s="5">
        <f>Account_Source!D19</f>
        <v>19.1</v>
      </c>
      <c r="E19" t="n" s="5">
        <f>IF(C19=0,"",ROUND(SUMIFS(Loss_Run!$G$2:$G$120,Loss_Run!$B$2:$B$120,$A19,Loss_Run!$F$2:$F$120,"")/C19*100,1))</f>
        <v>14.2</v>
      </c>
      <c r="F19" s="5" t="inlineStr">
        <is>
          <t>Quote</t>
        </is>
      </c>
      <c r="G19" s="6" t="inlineStr">
        <is>
          <t>No Section 3-6 referral triggers after reconciling granite_ridge_loss_run_36mo.csv and granite_ridge_location_schedule.csv.</t>
        </is>
      </c>
    </row>
    <row r="20" ht="45" customHeight="1">
      <c r="A20" s="5" t="inlineStr">
        <is>
          <t>GR-2053</t>
        </is>
      </c>
      <c r="B20" s="5" t="inlineStr">
        <is>
          <t>Southport Lane LLC</t>
        </is>
      </c>
      <c r="C20" t="n" s="5">
        <f>Account_Source!C20</f>
        <v>56098.72</v>
      </c>
      <c r="D20" t="n" s="5">
        <f>Account_Source!D20</f>
        <v>31.4</v>
      </c>
      <c r="E20" t="n" s="5">
        <f>IF(C20=0,"",ROUND(SUMIFS(Loss_Run!$G$2:$G$120,Loss_Run!$B$2:$B$120,$A20,Loss_Run!$F$2:$F$120,"")/C20*100,1))</f>
        <v>21.2</v>
      </c>
      <c r="F20" s="5" t="inlineStr">
        <is>
          <t>Refer</t>
        </is>
      </c>
      <c r="G20" s="6" t="inlineStr">
        <is>
          <t>Section 6 refer: HAB-2053-A subsidized units require endorsement documentation</t>
        </is>
      </c>
    </row>
    <row r="21" ht="45" customHeight="1">
      <c r="A21" s="5" t="inlineStr">
        <is>
          <t>GR-2056</t>
        </is>
      </c>
      <c r="B21" s="5" t="inlineStr">
        <is>
          <t>Troy Hill Apartments</t>
        </is>
      </c>
      <c r="C21" t="n" s="5">
        <f>Account_Source!C21</f>
        <v>44512.79</v>
      </c>
      <c r="D21" t="n" s="5">
        <f>Account_Source!D21</f>
        <v>33.9</v>
      </c>
      <c r="E21" t="n" s="5">
        <f>IF(C21=0,"",ROUND(SUMIFS(Loss_Run!$G$2:$G$120,Loss_Run!$B$2:$B$120,$A21,Loss_Run!$F$2:$F$120,"")/C21*100,1))</f>
        <v>22.4</v>
      </c>
      <c r="F21" s="5" t="inlineStr">
        <is>
          <t>Quote</t>
        </is>
      </c>
      <c r="G21" s="6" t="inlineStr">
        <is>
          <t>Loss ratio and location checks clear under granite_ridge_routing_notes.txt with no pending broker items.</t>
        </is>
      </c>
    </row>
    <row r="22" ht="45" customHeight="1">
      <c r="A22" s="5" t="inlineStr">
        <is>
          <t>GR-2059</t>
        </is>
      </c>
      <c r="B22" s="5" t="inlineStr">
        <is>
          <t>Union Depot Lofts LLC</t>
        </is>
      </c>
      <c r="C22" t="n" s="5">
        <f>Account_Source!C22</f>
        <v>88435.18</v>
      </c>
      <c r="D22" t="n" s="5">
        <f>Account_Source!D22</f>
        <v>23.2</v>
      </c>
      <c r="E22" t="n" s="5">
        <f>IF(C22=0,"",ROUND(SUMIFS(Loss_Run!$G$2:$G$120,Loss_Run!$B$2:$B$120,$A22,Loss_Run!$F$2:$F$120,"")/C22*100,1))</f>
        <v>25.2</v>
      </c>
      <c r="F22" s="5" t="inlineStr">
        <is>
          <t>Quote</t>
        </is>
      </c>
      <c r="G22" s="6" t="inlineStr">
        <is>
          <t>Renewal-ready at summary level confirmed once location schedule and loss run were reconciled.</t>
        </is>
      </c>
    </row>
    <row r="23" ht="45" customHeight="1">
      <c r="A23" s="5" t="inlineStr">
        <is>
          <t>GR-2062</t>
        </is>
      </c>
      <c r="B23" s="5" t="inlineStr">
        <is>
          <t>Vernon Park Residences</t>
        </is>
      </c>
      <c r="C23" t="n" s="5">
        <f>Account_Source!C23</f>
        <v>67739.13</v>
      </c>
      <c r="D23" t="n" s="5">
        <f>Account_Source!D23</f>
        <v>26.1</v>
      </c>
      <c r="E23" t="n" s="5">
        <f>IF(C23=0,"",ROUND(SUMIFS(Loss_Run!$G$2:$G$120,Loss_Run!$B$2:$B$120,$A23,Loss_Run!$F$2:$F$120,"")/C23*100,1))</f>
        <v>19.2</v>
      </c>
      <c r="F23" s="5" t="inlineStr">
        <is>
          <t>Quote</t>
        </is>
      </c>
      <c r="G23" s="6" t="inlineStr">
        <is>
          <t>Account summary ties to location detail; no inspection, vacancy, or subsidized-housing flags require referral.</t>
        </is>
      </c>
    </row>
    <row r="24" ht="45" customHeight="1">
      <c r="A24" s="5" t="inlineStr">
        <is>
          <t>GR-2065</t>
        </is>
      </c>
      <c r="B24" s="5" t="inlineStr">
        <is>
          <t>Campus Edge Housing Co.</t>
        </is>
      </c>
      <c r="C24" t="n" s="5">
        <f>Account_Source!C24</f>
        <v>60820.87</v>
      </c>
      <c r="D24" t="n" s="5">
        <f>Account_Source!D24</f>
        <v>29.7</v>
      </c>
      <c r="E24" t="n" s="5">
        <f>IF(C24=0,"",ROUND(SUMIFS(Loss_Run!$G$2:$G$120,Loss_Run!$B$2:$B$120,$A24,Loss_Run!$F$2:$F$120,"")/C24*100,1))</f>
        <v>7.4</v>
      </c>
      <c r="F24" s="5" t="inlineStr">
        <is>
          <t>Refer</t>
        </is>
      </c>
      <c r="G24" s="6" t="inlineStr">
        <is>
          <t>Section 10 refer: Campus Edge student-housing account — GRP-APPETITE review must be submitted before bind per granite_ridge_routing_notes.txt</t>
        </is>
      </c>
    </row>
    <row r="25" ht="45" customHeight="1">
      <c r="A25" s="5" t="inlineStr">
        <is>
          <t>GR-2068</t>
        </is>
      </c>
      <c r="B25" s="5" t="inlineStr">
        <is>
          <t>Westchester Court LLC</t>
        </is>
      </c>
      <c r="C25" t="n" s="5">
        <f>Account_Source!C25</f>
        <v>84020.88</v>
      </c>
      <c r="D25" t="n" s="5">
        <f>Account_Source!D25</f>
        <v>21.1</v>
      </c>
      <c r="E25" t="n" s="5">
        <f>IF(C25=0,"",ROUND(SUMIFS(Loss_Run!$G$2:$G$120,Loss_Run!$B$2:$B$120,$A25,Loss_Run!$F$2:$F$120,"")/C25*100,1))</f>
        <v>8.8</v>
      </c>
      <c r="F25" s="5" t="inlineStr">
        <is>
          <t>Refer</t>
        </is>
      </c>
      <c r="G25" s="6" t="inlineStr">
        <is>
          <t>Section 6 refer: HAB-2068-B subsidized units require endorsement documentation</t>
        </is>
      </c>
    </row>
    <row r="26" ht="45" customHeight="1">
      <c r="A26" s="5" t="inlineStr">
        <is>
          <t>GR-2071</t>
        </is>
      </c>
      <c r="B26" s="5" t="inlineStr">
        <is>
          <t>Buckeye Garden Apts LLC</t>
        </is>
      </c>
      <c r="C26" t="n" s="5">
        <f>Account_Source!C26</f>
        <v>49959.06</v>
      </c>
      <c r="D26" t="n" s="5">
        <f>Account_Source!D26</f>
        <v>14.8</v>
      </c>
      <c r="E26" t="n" s="5">
        <f>IF(C26=0,"",ROUND(SUMIFS(Loss_Run!$G$2:$G$120,Loss_Run!$B$2:$B$120,$A26,Loss_Run!$F$2:$F$120,"")/C26*100,1))</f>
        <v>9.6</v>
      </c>
      <c r="F26" s="5" t="inlineStr">
        <is>
          <t>Quote</t>
        </is>
      </c>
      <c r="G26" s="6" t="inlineStr">
        <is>
          <t>Section 9: excluded catastrophe-coded loss CAT-2408 from attritional LR per granite_ridge_routing_notes.txt; remaining attritional history within appetite with no Section 3-6 referral triggers.</t>
        </is>
      </c>
    </row>
    <row r="27" ht="45" customHeight="1">
      <c r="A27" s="5" t="inlineStr">
        <is>
          <t>GR-2074</t>
        </is>
      </c>
      <c r="B27" s="5" t="inlineStr">
        <is>
          <t>Yorktown Flats LLC</t>
        </is>
      </c>
      <c r="C27" t="n" s="5">
        <f>Account_Source!C27</f>
        <v>61833.36</v>
      </c>
      <c r="D27" t="n" s="5">
        <f>Account_Source!D27</f>
        <v>25.3</v>
      </c>
      <c r="E27" t="n" s="5">
        <f>IF(C27=0,"",ROUND(SUMIFS(Loss_Run!$G$2:$G$120,Loss_Run!$B$2:$B$120,$A27,Loss_Run!$F$2:$F$120,"")/C27*100,1))</f>
        <v>10.6</v>
      </c>
      <c r="F27" s="5" t="inlineStr">
        <is>
          <t>Refer</t>
        </is>
      </c>
      <c r="G27" s="6" t="inlineStr">
        <is>
          <t>Section 5 refer: HAB-2074-A pool fence remediation pending per granite_ridge_location_schedule.csv</t>
        </is>
      </c>
    </row>
    <row r="28" ht="45" customHeight="1">
      <c r="A28" s="5" t="inlineStr">
        <is>
          <t>GR-2077</t>
        </is>
      </c>
      <c r="B28" s="5" t="inlineStr">
        <is>
          <t>Zion Road Residences</t>
        </is>
      </c>
      <c r="C28" t="n" s="5">
        <f>Account_Source!C28</f>
        <v>74207.07</v>
      </c>
      <c r="D28" t="n" s="5">
        <f>Account_Source!D28</f>
        <v>15.5</v>
      </c>
      <c r="E28" t="n" s="5">
        <f>IF(C28=0,"",ROUND(SUMIFS(Loss_Run!$G$2:$G$120,Loss_Run!$B$2:$B$120,$A28,Loss_Run!$F$2:$F$120,"")/C28*100,1))</f>
        <v>25.5</v>
      </c>
      <c r="F28" s="5" t="inlineStr">
        <is>
          <t>Quote</t>
        </is>
      </c>
      <c r="G28" s="6" t="inlineStr">
        <is>
          <t>Account summary ties to location detail; no inspection, vacancy, or subsidized-housing flags require referral.</t>
        </is>
      </c>
    </row>
    <row r="29" ht="45" customHeight="1">
      <c r="A29" s="5" t="inlineStr">
        <is>
          <t>GR-2080</t>
        </is>
      </c>
      <c r="B29" s="5" t="inlineStr">
        <is>
          <t>Archer Avenue Apts LLC</t>
        </is>
      </c>
      <c r="C29" t="n" s="5">
        <f>Account_Source!C29</f>
        <v>83442.5</v>
      </c>
      <c r="D29" t="n" s="5">
        <f>Account_Source!D29</f>
        <v>14.9</v>
      </c>
      <c r="E29" t="n" s="5">
        <f>IF(C29=0,"",ROUND(SUMIFS(Loss_Run!$G$2:$G$120,Loss_Run!$B$2:$B$120,$A29,Loss_Run!$F$2:$F$120,"")/C29*100,1))</f>
        <v>12.6</v>
      </c>
      <c r="F29" s="5" t="inlineStr">
        <is>
          <t>Quote</t>
        </is>
      </c>
      <c r="G29" s="6" t="inlineStr">
        <is>
          <t>No Section 3-6 referral triggers after reconciling granite_ridge_loss_run_36mo.csv and granite_ridge_location_schedule.csv.</t>
        </is>
      </c>
    </row>
    <row r="30" ht="45" customHeight="1">
      <c r="A30" s="5" t="inlineStr">
        <is>
          <t>GR-2083</t>
        </is>
      </c>
      <c r="B30" s="5" t="inlineStr">
        <is>
          <t>Belmont Court Partners</t>
        </is>
      </c>
      <c r="C30" t="n" s="5">
        <f>Account_Source!C30</f>
        <v>77606.69</v>
      </c>
      <c r="D30" t="n" s="5">
        <f>Account_Source!D30</f>
        <v>28.4</v>
      </c>
      <c r="E30" t="n" s="5">
        <f>IF(C30=0,"",ROUND(SUMIFS(Loss_Run!$G$2:$G$120,Loss_Run!$B$2:$B$120,$A30,Loss_Run!$F$2:$F$120,"")/C30*100,1))</f>
        <v>10.3</v>
      </c>
      <c r="F30" s="5" t="inlineStr">
        <is>
          <t>Quote</t>
        </is>
      </c>
      <c r="G30" s="6" t="inlineStr">
        <is>
          <t>Attritional loss history within appetite after reconciling granite_ridge_loss_run_36mo.csv; no referral triggers active.</t>
        </is>
      </c>
    </row>
    <row r="31" ht="45" customHeight="1">
      <c r="A31" s="5" t="inlineStr">
        <is>
          <t>GR-2086</t>
        </is>
      </c>
      <c r="B31" s="5" t="inlineStr">
        <is>
          <t>Cermak Place LLC</t>
        </is>
      </c>
      <c r="C31" t="n" s="5">
        <f>Account_Source!C31</f>
        <v>93807.95</v>
      </c>
      <c r="D31" t="n" s="5">
        <f>Account_Source!D31</f>
        <v>16.1</v>
      </c>
      <c r="E31" t="n" s="5">
        <f>IF(C31=0,"",ROUND(SUMIFS(Loss_Run!$G$2:$G$120,Loss_Run!$B$2:$B$120,$A31,Loss_Run!$F$2:$F$120,"")/C31*100,1))</f>
        <v>27.1</v>
      </c>
      <c r="F31" s="5" t="inlineStr">
        <is>
          <t>Quote</t>
        </is>
      </c>
      <c r="G31" s="6" t="inlineStr">
        <is>
          <t>Loss ratio and location checks clear under granite_ridge_routing_notes.txt with no pending broker items.</t>
        </is>
      </c>
    </row>
    <row r="32" ht="45" customHeight="1">
      <c r="A32" s="5" t="inlineStr">
        <is>
          <t>GR-2089</t>
        </is>
      </c>
      <c r="B32" s="5" t="inlineStr">
        <is>
          <t>Devonshire Arms LLC</t>
        </is>
      </c>
      <c r="C32" t="n" s="5">
        <f>Account_Source!C32</f>
        <v>67380</v>
      </c>
      <c r="D32" t="n" s="5">
        <f>Account_Source!D32</f>
        <v>24.7</v>
      </c>
      <c r="E32" t="n" s="5">
        <f>IF(C32=0,"",ROUND(SUMIFS(Loss_Run!$G$2:$G$120,Loss_Run!$B$2:$B$120,$A32,Loss_Run!$F$2:$F$120,"")/C32*100,1))</f>
        <v>14</v>
      </c>
      <c r="F32" s="5" t="inlineStr">
        <is>
          <t>Refer</t>
        </is>
      </c>
      <c r="G32" s="6" t="inlineStr">
        <is>
          <t>Section 5 refer: HAB-2089-A life-safety inspection past grace per granite_ridge_location_schedule.csv</t>
        </is>
      </c>
    </row>
    <row r="33" ht="45" customHeight="1">
      <c r="A33" s="5" t="inlineStr">
        <is>
          <t>GR-2092</t>
        </is>
      </c>
      <c r="B33" s="5" t="inlineStr">
        <is>
          <t>Elston Crossing Apts</t>
        </is>
      </c>
      <c r="C33" t="n" s="5">
        <f>Account_Source!C33</f>
        <v>52150.45</v>
      </c>
      <c r="D33" t="n" s="5">
        <f>Account_Source!D33</f>
        <v>16</v>
      </c>
      <c r="E33" t="n" s="5">
        <f>IF(C33=0,"",ROUND(SUMIFS(Loss_Run!$G$2:$G$120,Loss_Run!$B$2:$B$120,$A33,Loss_Run!$F$2:$F$120,"")/C33*100,1))</f>
        <v>25.4</v>
      </c>
      <c r="F33" s="5" t="inlineStr">
        <is>
          <t>Refer</t>
        </is>
      </c>
      <c r="G33" s="6" t="inlineStr">
        <is>
          <t>Section 6 refer: HAB-2092-A subsidized units require endorsement documentation</t>
        </is>
      </c>
    </row>
    <row r="34" ht="45" customHeight="1">
      <c r="A34" s="5" t="inlineStr">
        <is>
          <t>GR-2113</t>
        </is>
      </c>
      <c r="B34" s="5" t="inlineStr">
        <is>
          <t>Fulton Market Residences</t>
        </is>
      </c>
      <c r="C34" t="n" s="5">
        <f>Account_Source!C34</f>
        <v>78450</v>
      </c>
      <c r="D34" t="n" s="5">
        <f>Account_Source!D34</f>
        <v>28.4</v>
      </c>
      <c r="E34" t="n" s="5">
        <f>IF(C34=0,"",ROUND(SUMIFS(Loss_Run!$G$2:$G$120,Loss_Run!$B$2:$B$120,$A34,Loss_Run!$F$2:$F$120,"")/C34*100,1))</f>
        <v>16.5</v>
      </c>
      <c r="F34" s="5" t="inlineStr">
        <is>
          <t>Refer</t>
        </is>
      </c>
      <c r="G34" s="6" t="inlineStr">
        <is>
          <t>Section 4 refer: TIV variance 8.2% between granite_ridge_renewal_accounts.csv and granite_ridge_location_schedule.csv; Section 4 refer: unit count variance 5.6% between granite_ridge_renewal_accounts.csv and granite_ridge_location_schedule.csv</t>
        </is>
      </c>
    </row>
    <row r="35" ht="45" customHeight="1">
      <c r="A35" s="5" t="inlineStr">
        <is>
          <t>GR-2162</t>
        </is>
      </c>
      <c r="B35" s="5" t="inlineStr">
        <is>
          <t>Grandview Portfolio LLC</t>
        </is>
      </c>
      <c r="C35" t="n" s="5">
        <f>Account_Source!C35</f>
        <v>392850</v>
      </c>
      <c r="D35" t="n" s="5">
        <f>Account_Source!D35</f>
        <v>31.8</v>
      </c>
      <c r="E35" t="n" s="5">
        <f>IF(C35=0,"",ROUND(SUMIFS(Loss_Run!$G$2:$G$120,Loss_Run!$B$2:$B$120,$A35,Loss_Run!$F$2:$F$120,"")/C35*100,1))</f>
        <v>67.5</v>
      </c>
      <c r="F35" s="5" t="inlineStr">
        <is>
          <t>Refer</t>
        </is>
      </c>
      <c r="G35" s="6" t="inlineStr">
        <is>
          <t>Section 3 refer: recomputed LR 67.5% from granite_ridge_loss_run_36mo.csv; Section 3 refer: HAB-2162-C incurred $260,120 per granite_ridge_loss_run_36mo.csv</t>
        </is>
      </c>
    </row>
    <row r="36" ht="45" customHeight="1">
      <c r="A36" s="5" t="inlineStr">
        <is>
          <t>GR-2195</t>
        </is>
      </c>
      <c r="B36" s="5" t="inlineStr">
        <is>
          <t>Humboldt Yard Apts LLC</t>
        </is>
      </c>
      <c r="C36" t="n" s="5">
        <f>Account_Source!C36</f>
        <v>48620</v>
      </c>
      <c r="D36" t="n" s="5">
        <f>Account_Source!D36</f>
        <v>48.2</v>
      </c>
      <c r="E36" t="n" s="5">
        <f>IF(C36=0,"",ROUND(SUMIFS(Loss_Run!$G$2:$G$120,Loss_Run!$B$2:$B$120,$A36,Loss_Run!$F$2:$F$120,"")/C36*100,1))</f>
        <v>292.3</v>
      </c>
      <c r="F36" s="5" t="inlineStr">
        <is>
          <t>Decline</t>
        </is>
      </c>
      <c r="G36" s="6" t="inlineStr">
        <is>
          <t>Section 3 decline: recomputed LR 292.3% from granite_ridge_loss_run_36mo.csv</t>
        </is>
      </c>
    </row>
    <row r="37" ht="45" customHeight="1">
      <c r="A37" s="5" t="inlineStr">
        <is>
          <t>GR-2200</t>
        </is>
      </c>
      <c r="B37" s="5" t="inlineStr">
        <is>
          <t>Indiana Ave Partners LLC</t>
        </is>
      </c>
      <c r="C37" t="n" s="5">
        <f>Account_Source!C37</f>
        <v>82603.3</v>
      </c>
      <c r="D37" t="n" s="5">
        <f>Account_Source!D37</f>
        <v>26.3</v>
      </c>
      <c r="E37" t="n" s="5">
        <f>IF(C37=0,"",ROUND(SUMIFS(Loss_Run!$G$2:$G$120,Loss_Run!$B$2:$B$120,$A37,Loss_Run!$F$2:$F$120,"")/C37*100,1))</f>
        <v>16.6</v>
      </c>
      <c r="F37" s="5" t="inlineStr">
        <is>
          <t>Quote</t>
        </is>
      </c>
      <c r="G37" s="6" t="inlineStr">
        <is>
          <t>No Section 3-6 referral triggers after reconciling granite_ridge_loss_run_36mo.csv and granite_ridge_location_schedule.csv.</t>
        </is>
      </c>
    </row>
  </sheetData>
  <autoFilter ref="A1:G37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58" customWidth="1" min="4" max="4"/>
    <col width="36" customWidth="1" min="5" max="5"/>
  </cols>
  <sheetData>
    <row r="1" ht="28" customHeight="1">
      <c r="A1" s="4" t="inlineStr">
        <is>
          <t>location_or_account</t>
        </is>
      </c>
      <c r="B1" s="4" t="inlineStr">
        <is>
          <t>account_id</t>
        </is>
      </c>
      <c r="C1" s="4" t="inlineStr">
        <is>
          <t>exception_type</t>
        </is>
      </c>
      <c r="D1" s="4" t="inlineStr">
        <is>
          <t>detail</t>
        </is>
      </c>
      <c r="E1" s="4" t="inlineStr">
        <is>
          <t>source</t>
        </is>
      </c>
    </row>
    <row r="2" ht="45" customHeight="1">
      <c r="A2" s="5" t="inlineStr">
        <is>
          <t>GR-2007</t>
        </is>
      </c>
      <c r="B2" s="5" t="inlineStr">
        <is>
          <t>GR-2007</t>
        </is>
      </c>
      <c r="C2" s="5" t="inlineStr">
        <is>
          <t>Student housing appetite note</t>
        </is>
      </c>
      <c r="D2" s="6" t="inlineStr">
        <is>
          <t>Section 10: GRP-APPETITE review must be submitted before bind (Campus Edge student-housing account; clearance not on file)</t>
        </is>
      </c>
      <c r="E2" s="5" t="inlineStr">
        <is>
          <t>granite_ridge_routing_notes.txt</t>
        </is>
      </c>
    </row>
    <row r="3" ht="45" customHeight="1">
      <c r="A3" s="5" t="inlineStr">
        <is>
          <t>HAB-2033-B</t>
        </is>
      </c>
      <c r="B3" s="5" t="inlineStr">
        <is>
          <t>GR-2033</t>
        </is>
      </c>
      <c r="C3" s="5" t="inlineStr">
        <is>
          <t>Vacancy pending broker update</t>
        </is>
      </c>
      <c r="D3" s="6" t="inlineStr">
        <is>
          <t>vacancy_flag=Y</t>
        </is>
      </c>
      <c r="E3" s="5" t="inlineStr">
        <is>
          <t>granite_ridge_location_schedule.csv</t>
        </is>
      </c>
    </row>
    <row r="4" ht="45" customHeight="1">
      <c r="A4" s="5" t="inlineStr">
        <is>
          <t>HAB-2053-A</t>
        </is>
      </c>
      <c r="B4" s="5" t="inlineStr">
        <is>
          <t>GR-2053</t>
        </is>
      </c>
      <c r="C4" s="5" t="inlineStr">
        <is>
          <t>Subsidized housing endorsement required</t>
        </is>
      </c>
      <c r="D4" s="6" t="inlineStr">
        <is>
          <t>24 subsidized units</t>
        </is>
      </c>
      <c r="E4" s="5" t="inlineStr">
        <is>
          <t>granite_ridge_location_schedule.csv</t>
        </is>
      </c>
    </row>
    <row r="5" ht="45" customHeight="1">
      <c r="A5" s="5" t="inlineStr">
        <is>
          <t>GR-2065</t>
        </is>
      </c>
      <c r="B5" s="5" t="inlineStr">
        <is>
          <t>GR-2065</t>
        </is>
      </c>
      <c r="C5" s="5" t="inlineStr">
        <is>
          <t>Student housing appetite note</t>
        </is>
      </c>
      <c r="D5" s="6" t="inlineStr">
        <is>
          <t>Section 10: GRP-APPETITE review must be submitted before bind (Campus Edge student-housing account; clearance not on file)</t>
        </is>
      </c>
      <c r="E5" s="5" t="inlineStr">
        <is>
          <t>granite_ridge_routing_notes.txt</t>
        </is>
      </c>
    </row>
    <row r="6" ht="45" customHeight="1">
      <c r="A6" s="5" t="inlineStr">
        <is>
          <t>HAB-2068-B</t>
        </is>
      </c>
      <c r="B6" s="5" t="inlineStr">
        <is>
          <t>GR-2068</t>
        </is>
      </c>
      <c r="C6" s="5" t="inlineStr">
        <is>
          <t>Subsidized housing endorsement required</t>
        </is>
      </c>
      <c r="D6" s="6" t="inlineStr">
        <is>
          <t>18 subsidized units</t>
        </is>
      </c>
      <c r="E6" s="5" t="inlineStr">
        <is>
          <t>granite_ridge_location_schedule.csv</t>
        </is>
      </c>
    </row>
    <row r="7" ht="45" customHeight="1">
      <c r="A7" s="5" t="inlineStr">
        <is>
          <t>HAB-2074-A</t>
        </is>
      </c>
      <c r="B7" s="5" t="inlineStr">
        <is>
          <t>GR-2074</t>
        </is>
      </c>
      <c r="C7" s="5" t="inlineStr">
        <is>
          <t>Pending pool remediation</t>
        </is>
      </c>
      <c r="D7" s="6" t="inlineStr">
        <is>
          <t>pending_fence_po</t>
        </is>
      </c>
      <c r="E7" s="5" t="inlineStr">
        <is>
          <t>granite_ridge_location_schedule.csv</t>
        </is>
      </c>
    </row>
    <row r="8" ht="45" customHeight="1">
      <c r="A8" s="5" t="inlineStr">
        <is>
          <t>HAB-2089-A</t>
        </is>
      </c>
      <c r="B8" s="5" t="inlineStr">
        <is>
          <t>GR-2089</t>
        </is>
      </c>
      <c r="C8" s="5" t="inlineStr">
        <is>
          <t>Expired life-safety inspection</t>
        </is>
      </c>
      <c r="D8" s="6" t="inlineStr">
        <is>
          <t>sprinkler 2025-04-02</t>
        </is>
      </c>
      <c r="E8" s="5" t="inlineStr">
        <is>
          <t>granite_ridge_location_schedule.csv</t>
        </is>
      </c>
    </row>
    <row r="9" ht="45" customHeight="1">
      <c r="A9" s="5" t="inlineStr">
        <is>
          <t>HAB-2092-A</t>
        </is>
      </c>
      <c r="B9" s="5" t="inlineStr">
        <is>
          <t>GR-2092</t>
        </is>
      </c>
      <c r="C9" s="5" t="inlineStr">
        <is>
          <t>Subsidized housing endorsement required</t>
        </is>
      </c>
      <c r="D9" s="6" t="inlineStr">
        <is>
          <t>22 subsidized units</t>
        </is>
      </c>
      <c r="E9" s="5" t="inlineStr">
        <is>
          <t>granite_ridge_location_schedule.csv</t>
        </is>
      </c>
    </row>
    <row r="10" ht="45" customHeight="1">
      <c r="A10" s="5" t="inlineStr">
        <is>
          <t>GR-2113</t>
        </is>
      </c>
      <c r="B10" s="5" t="inlineStr">
        <is>
          <t>GR-2113</t>
        </is>
      </c>
      <c r="C10" s="5" t="inlineStr">
        <is>
          <t>Account TIV does not tie to locations</t>
        </is>
      </c>
      <c r="D10" s="6" t="inlineStr">
        <is>
          <t>variance +$970,880</t>
        </is>
      </c>
      <c r="E10" s="5" t="inlineStr">
        <is>
          <t>granite_ridge_renewal_accounts.csv; granite_ridge_location_schedule.csv</t>
        </is>
      </c>
    </row>
    <row r="11" ht="45" customHeight="1">
      <c r="A11" s="5" t="inlineStr">
        <is>
          <t>GR-2113</t>
        </is>
      </c>
      <c r="B11" s="5" t="inlineStr">
        <is>
          <t>GR-2113</t>
        </is>
      </c>
      <c r="C11" s="5" t="inlineStr">
        <is>
          <t>Account unit count does not tie to locations</t>
        </is>
      </c>
      <c r="D11" s="6" t="inlineStr">
        <is>
          <t>variance 8 units</t>
        </is>
      </c>
      <c r="E11" s="5" t="inlineStr">
        <is>
          <t>granite_ridge_renewal_accounts.csv; granite_ridge_location_schedule.csv</t>
        </is>
      </c>
    </row>
  </sheetData>
  <autoFilter ref="A1:E11"/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52" customWidth="1" min="5" max="5"/>
  </cols>
  <sheetData>
    <row r="1" ht="28" customHeight="1">
      <c r="A1" s="4" t="inlineStr">
        <is>
          <t>account_id</t>
        </is>
      </c>
      <c r="B1" s="4" t="inlineStr">
        <is>
          <t>list_loss_ratio</t>
        </is>
      </c>
      <c r="C1" s="4" t="inlineStr">
        <is>
          <t>recomputed_loss_ratio</t>
        </is>
      </c>
      <c r="D1" s="4" t="inlineStr">
        <is>
          <t>delta</t>
        </is>
      </c>
      <c r="E1" s="4" t="inlineStr">
        <is>
          <t>source</t>
        </is>
      </c>
    </row>
    <row r="2" ht="45" customHeight="1">
      <c r="A2" s="5" t="inlineStr">
        <is>
          <t>GR-2001</t>
        </is>
      </c>
      <c r="B2" t="n" s="5">
        <f>Account_Routing!D2</f>
        <v>25.9</v>
      </c>
      <c r="C2" t="n" s="5">
        <f>Account_Routing!E2</f>
        <v>11.3</v>
      </c>
      <c r="D2" t="n" s="5">
        <f>C2-B2</f>
        <v>-14.6</v>
      </c>
      <c r="E2" s="6" t="inlineStr">
        <is>
          <t>granite_ridge_loss_run_36mo.csv vs granite_ridge_renewal_accounts.csv</t>
        </is>
      </c>
    </row>
    <row r="3" ht="45" customHeight="1">
      <c r="A3" s="5" t="inlineStr">
        <is>
          <t>GR-2004</t>
        </is>
      </c>
      <c r="B3" t="n" s="5">
        <f>Account_Routing!D3</f>
        <v>12.8</v>
      </c>
      <c r="C3" t="n" s="5">
        <f>Account_Routing!E3</f>
        <v>26.4</v>
      </c>
      <c r="D3" t="n" s="5">
        <f>C3-B3</f>
        <v>13.6</v>
      </c>
      <c r="E3" s="6" t="inlineStr">
        <is>
          <t>granite_ridge_loss_run_36mo.csv vs granite_ridge_renewal_accounts.csv</t>
        </is>
      </c>
    </row>
    <row r="4" ht="45" customHeight="1">
      <c r="A4" s="5" t="inlineStr">
        <is>
          <t>GR-2010</t>
        </is>
      </c>
      <c r="B4" t="n" s="5">
        <f>Account_Routing!D5</f>
        <v>17.1</v>
      </c>
      <c r="C4" t="n" s="5">
        <f>Account_Routing!E5</f>
        <v>6.1</v>
      </c>
      <c r="D4" t="n" s="5">
        <f>C4-B4</f>
        <v>-11</v>
      </c>
      <c r="E4" s="6" t="inlineStr">
        <is>
          <t>granite_ridge_loss_run_36mo.csv vs granite_ridge_renewal_accounts.csv</t>
        </is>
      </c>
    </row>
    <row r="5" ht="45" customHeight="1">
      <c r="A5" s="5" t="inlineStr">
        <is>
          <t>GR-2016</t>
        </is>
      </c>
      <c r="B5" t="n" s="5">
        <f>Account_Routing!D7</f>
        <v>30.2</v>
      </c>
      <c r="C5" t="n" s="5">
        <f>Account_Routing!E7</f>
        <v>18.1</v>
      </c>
      <c r="D5" t="n" s="5">
        <f>C5-B5</f>
        <v>-12.1</v>
      </c>
      <c r="E5" s="6" t="inlineStr">
        <is>
          <t>granite_ridge_loss_run_36mo.csv vs granite_ridge_renewal_accounts.csv</t>
        </is>
      </c>
    </row>
    <row r="6" ht="45" customHeight="1">
      <c r="A6" s="5" t="inlineStr">
        <is>
          <t>GR-2018</t>
        </is>
      </c>
      <c r="B6" t="n" s="5">
        <f>Account_Routing!D8</f>
        <v>18.6</v>
      </c>
      <c r="C6" t="n" s="5">
        <f>Account_Routing!E8</f>
        <v>9.9</v>
      </c>
      <c r="D6" t="n" s="5">
        <f>C6-B6</f>
        <v>-8.7</v>
      </c>
      <c r="E6" s="6" t="inlineStr">
        <is>
          <t>granite_ridge_loss_run_36mo.csv vs granite_ridge_renewal_accounts.csv</t>
        </is>
      </c>
    </row>
    <row r="7" ht="45" customHeight="1">
      <c r="A7" s="5" t="inlineStr">
        <is>
          <t>GR-2021</t>
        </is>
      </c>
      <c r="B7" t="n" s="5">
        <f>Account_Routing!D9</f>
        <v>26.8</v>
      </c>
      <c r="C7" t="n" s="5">
        <f>Account_Routing!E9</f>
        <v>16.5</v>
      </c>
      <c r="D7" t="n" s="5">
        <f>C7-B7</f>
        <v>-10.3</v>
      </c>
      <c r="E7" s="6" t="inlineStr">
        <is>
          <t>granite_ridge_loss_run_36mo.csv vs granite_ridge_renewal_accounts.csv</t>
        </is>
      </c>
    </row>
    <row r="8" ht="45" customHeight="1">
      <c r="A8" s="5" t="inlineStr">
        <is>
          <t>GR-2024</t>
        </is>
      </c>
      <c r="B8" t="n" s="5">
        <f>Account_Routing!D10</f>
        <v>17.4</v>
      </c>
      <c r="C8" t="n" s="5">
        <f>Account_Routing!E10</f>
        <v>27.7</v>
      </c>
      <c r="D8" t="n" s="5">
        <f>C8-B8</f>
        <v>10.3</v>
      </c>
      <c r="E8" s="6" t="inlineStr">
        <is>
          <t>granite_ridge_loss_run_36mo.csv vs granite_ridge_renewal_accounts.csv</t>
        </is>
      </c>
    </row>
    <row r="9" ht="45" customHeight="1">
      <c r="A9" s="5" t="inlineStr">
        <is>
          <t>GR-2027</t>
        </is>
      </c>
      <c r="B9" t="n" s="5">
        <f>Account_Routing!D11</f>
        <v>21.6</v>
      </c>
      <c r="C9" t="n" s="5">
        <f>Account_Routing!E11</f>
        <v>11.6</v>
      </c>
      <c r="D9" t="n" s="5">
        <f>C9-B9</f>
        <v>-10</v>
      </c>
      <c r="E9" s="6" t="inlineStr">
        <is>
          <t>granite_ridge_loss_run_36mo.csv vs granite_ridge_renewal_accounts.csv</t>
        </is>
      </c>
    </row>
    <row r="10" ht="45" customHeight="1">
      <c r="A10" s="5" t="inlineStr">
        <is>
          <t>GR-2030</t>
        </is>
      </c>
      <c r="B10" t="n" s="5">
        <f>Account_Routing!D12</f>
        <v>21.9</v>
      </c>
      <c r="C10" t="n" s="5">
        <f>Account_Routing!E12</f>
        <v>9.4</v>
      </c>
      <c r="D10" t="n" s="5">
        <f>C10-B10</f>
        <v>-12.5</v>
      </c>
      <c r="E10" s="6" t="inlineStr">
        <is>
          <t>granite_ridge_loss_run_36mo.csv vs granite_ridge_renewal_accounts.csv</t>
        </is>
      </c>
    </row>
    <row r="11" ht="45" customHeight="1">
      <c r="A11" s="5" t="inlineStr">
        <is>
          <t>GR-2033</t>
        </is>
      </c>
      <c r="B11" t="n" s="5">
        <f>Account_Routing!D13</f>
        <v>19.2</v>
      </c>
      <c r="C11" t="n" s="5">
        <f>Account_Routing!E13</f>
        <v>11.7</v>
      </c>
      <c r="D11" t="n" s="5">
        <f>C11-B11</f>
        <v>-7.5</v>
      </c>
      <c r="E11" s="6" t="inlineStr">
        <is>
          <t>granite_ridge_loss_run_36mo.csv vs granite_ridge_renewal_accounts.csv</t>
        </is>
      </c>
    </row>
    <row r="12" ht="45" customHeight="1">
      <c r="A12" s="5" t="inlineStr">
        <is>
          <t>GR-2036</t>
        </is>
      </c>
      <c r="B12" t="n" s="5">
        <f>Account_Routing!D14</f>
        <v>13.1</v>
      </c>
      <c r="C12" t="n" s="5">
        <f>Account_Routing!E14</f>
        <v>20.9</v>
      </c>
      <c r="D12" t="n" s="5">
        <f>C12-B12</f>
        <v>7.8</v>
      </c>
      <c r="E12" s="6" t="inlineStr">
        <is>
          <t>granite_ridge_loss_run_36mo.csv vs granite_ridge_renewal_accounts.csv</t>
        </is>
      </c>
    </row>
    <row r="13" ht="45" customHeight="1">
      <c r="A13" s="5" t="inlineStr">
        <is>
          <t>GR-2042</t>
        </is>
      </c>
      <c r="B13" t="n" s="5">
        <f>Account_Routing!D16</f>
        <v>16.3</v>
      </c>
      <c r="C13" t="n" s="5">
        <f>Account_Routing!E16</f>
        <v>25.9</v>
      </c>
      <c r="D13" t="n" s="5">
        <f>C13-B13</f>
        <v>9.6</v>
      </c>
      <c r="E13" s="6" t="inlineStr">
        <is>
          <t>granite_ridge_loss_run_36mo.csv vs granite_ridge_renewal_accounts.csv</t>
        </is>
      </c>
    </row>
    <row r="14" ht="45" customHeight="1">
      <c r="A14" s="5" t="inlineStr">
        <is>
          <t>GR-2045</t>
        </is>
      </c>
      <c r="B14" t="n" s="5">
        <f>Account_Routing!D17</f>
        <v>27.2</v>
      </c>
      <c r="C14" t="n" s="5">
        <f>Account_Routing!E17</f>
        <v>13.6</v>
      </c>
      <c r="D14" t="n" s="5">
        <f>C14-B14</f>
        <v>-13.6</v>
      </c>
      <c r="E14" s="6" t="inlineStr">
        <is>
          <t>granite_ridge_loss_run_36mo.csv vs granite_ridge_renewal_accounts.csv</t>
        </is>
      </c>
    </row>
    <row r="15" ht="45" customHeight="1">
      <c r="A15" s="5" t="inlineStr">
        <is>
          <t>GR-2047</t>
        </is>
      </c>
      <c r="B15" t="n" s="5">
        <f>Account_Routing!D18</f>
        <v>21.3</v>
      </c>
      <c r="C15" t="n" s="5">
        <f>Account_Routing!E18</f>
        <v>7.8</v>
      </c>
      <c r="D15" t="n" s="5">
        <f>C15-B15</f>
        <v>-13.5</v>
      </c>
      <c r="E15" s="6" t="inlineStr">
        <is>
          <t>granite_ridge_loss_run_36mo.csv vs granite_ridge_renewal_accounts.csv</t>
        </is>
      </c>
    </row>
    <row r="16" ht="45" customHeight="1">
      <c r="A16" s="5" t="inlineStr">
        <is>
          <t>GR-2053</t>
        </is>
      </c>
      <c r="B16" t="n" s="5">
        <f>Account_Routing!D20</f>
        <v>31.4</v>
      </c>
      <c r="C16" t="n" s="5">
        <f>Account_Routing!E20</f>
        <v>21.2</v>
      </c>
      <c r="D16" t="n" s="5">
        <f>C16-B16</f>
        <v>-10.2</v>
      </c>
      <c r="E16" s="6" t="inlineStr">
        <is>
          <t>granite_ridge_loss_run_36mo.csv vs granite_ridge_renewal_accounts.csv</t>
        </is>
      </c>
    </row>
    <row r="17" ht="45" customHeight="1">
      <c r="A17" s="5" t="inlineStr">
        <is>
          <t>GR-2056</t>
        </is>
      </c>
      <c r="B17" t="n" s="5">
        <f>Account_Routing!D21</f>
        <v>33.9</v>
      </c>
      <c r="C17" t="n" s="5">
        <f>Account_Routing!E21</f>
        <v>22.4</v>
      </c>
      <c r="D17" t="n" s="5">
        <f>C17-B17</f>
        <v>-11.5</v>
      </c>
      <c r="E17" s="6" t="inlineStr">
        <is>
          <t>granite_ridge_loss_run_36mo.csv vs granite_ridge_renewal_accounts.csv</t>
        </is>
      </c>
    </row>
    <row r="18" ht="45" customHeight="1">
      <c r="A18" s="5" t="inlineStr">
        <is>
          <t>GR-2062</t>
        </is>
      </c>
      <c r="B18" t="n" s="5">
        <f>Account_Routing!D23</f>
        <v>26.1</v>
      </c>
      <c r="C18" t="n" s="5">
        <f>Account_Routing!E23</f>
        <v>19.2</v>
      </c>
      <c r="D18" t="n" s="5">
        <f>C18-B18</f>
        <v>-6.9</v>
      </c>
      <c r="E18" s="6" t="inlineStr">
        <is>
          <t>granite_ridge_loss_run_36mo.csv vs granite_ridge_renewal_accounts.csv</t>
        </is>
      </c>
    </row>
    <row r="19" ht="45" customHeight="1">
      <c r="A19" s="5" t="inlineStr">
        <is>
          <t>GR-2065</t>
        </is>
      </c>
      <c r="B19" t="n" s="5">
        <f>Account_Routing!D24</f>
        <v>29.7</v>
      </c>
      <c r="C19" t="n" s="5">
        <f>Account_Routing!E24</f>
        <v>7.4</v>
      </c>
      <c r="D19" t="n" s="5">
        <f>C19-B19</f>
        <v>-22.3</v>
      </c>
      <c r="E19" s="6" t="inlineStr">
        <is>
          <t>granite_ridge_loss_run_36mo.csv vs granite_ridge_renewal_accounts.csv</t>
        </is>
      </c>
    </row>
    <row r="20" ht="45" customHeight="1">
      <c r="A20" s="5" t="inlineStr">
        <is>
          <t>GR-2068</t>
        </is>
      </c>
      <c r="B20" t="n" s="5">
        <f>Account_Routing!D25</f>
        <v>21.1</v>
      </c>
      <c r="C20" t="n" s="5">
        <f>Account_Routing!E25</f>
        <v>8.8</v>
      </c>
      <c r="D20" t="n" s="5">
        <f>C20-B20</f>
        <v>-12.3</v>
      </c>
      <c r="E20" s="6" t="inlineStr">
        <is>
          <t>granite_ridge_loss_run_36mo.csv vs granite_ridge_renewal_accounts.csv</t>
        </is>
      </c>
    </row>
    <row r="21" ht="45" customHeight="1">
      <c r="A21" s="5" t="inlineStr">
        <is>
          <t>GR-2071</t>
        </is>
      </c>
      <c r="B21" t="n" s="5">
        <f>Account_Routing!D26</f>
        <v>14.8</v>
      </c>
      <c r="C21" t="n" s="5">
        <f>Account_Routing!E26</f>
        <v>9.6</v>
      </c>
      <c r="D21" t="n" s="5">
        <f>C21-B21</f>
        <v>-5.2</v>
      </c>
      <c r="E21" s="6" t="inlineStr">
        <is>
          <t>granite_ridge_loss_run_36mo.csv vs granite_ridge_renewal_accounts.csv</t>
        </is>
      </c>
    </row>
    <row r="22" ht="45" customHeight="1">
      <c r="A22" s="5" t="inlineStr">
        <is>
          <t>GR-2074</t>
        </is>
      </c>
      <c r="B22" t="n" s="5">
        <f>Account_Routing!D27</f>
        <v>25.3</v>
      </c>
      <c r="C22" t="n" s="5">
        <f>Account_Routing!E27</f>
        <v>10.6</v>
      </c>
      <c r="D22" t="n" s="5">
        <f>C22-B22</f>
        <v>-14.7</v>
      </c>
      <c r="E22" s="6" t="inlineStr">
        <is>
          <t>granite_ridge_loss_run_36mo.csv vs granite_ridge_renewal_accounts.csv</t>
        </is>
      </c>
    </row>
    <row r="23" ht="45" customHeight="1">
      <c r="A23" s="5" t="inlineStr">
        <is>
          <t>GR-2077</t>
        </is>
      </c>
      <c r="B23" t="n" s="5">
        <f>Account_Routing!D28</f>
        <v>15.5</v>
      </c>
      <c r="C23" t="n" s="5">
        <f>Account_Routing!E28</f>
        <v>25.5</v>
      </c>
      <c r="D23" t="n" s="5">
        <f>C23-B23</f>
        <v>10</v>
      </c>
      <c r="E23" s="6" t="inlineStr">
        <is>
          <t>granite_ridge_loss_run_36mo.csv vs granite_ridge_renewal_accounts.csv</t>
        </is>
      </c>
    </row>
    <row r="24" ht="45" customHeight="1">
      <c r="A24" s="5" t="inlineStr">
        <is>
          <t>GR-2083</t>
        </is>
      </c>
      <c r="B24" t="n" s="5">
        <f>Account_Routing!D30</f>
        <v>28.4</v>
      </c>
      <c r="C24" t="n" s="5">
        <f>Account_Routing!E30</f>
        <v>10.3</v>
      </c>
      <c r="D24" t="n" s="5">
        <f>C24-B24</f>
        <v>-18.1</v>
      </c>
      <c r="E24" s="6" t="inlineStr">
        <is>
          <t>granite_ridge_loss_run_36mo.csv vs granite_ridge_renewal_accounts.csv</t>
        </is>
      </c>
    </row>
    <row r="25" ht="45" customHeight="1">
      <c r="A25" s="5" t="inlineStr">
        <is>
          <t>GR-2086</t>
        </is>
      </c>
      <c r="B25" t="n" s="5">
        <f>Account_Routing!D31</f>
        <v>16.1</v>
      </c>
      <c r="C25" t="n" s="5">
        <f>Account_Routing!E31</f>
        <v>27.1</v>
      </c>
      <c r="D25" t="n" s="5">
        <f>C25-B25</f>
        <v>11</v>
      </c>
      <c r="E25" s="6" t="inlineStr">
        <is>
          <t>granite_ridge_loss_run_36mo.csv vs granite_ridge_renewal_accounts.csv</t>
        </is>
      </c>
    </row>
    <row r="26" ht="45" customHeight="1">
      <c r="A26" s="5" t="inlineStr">
        <is>
          <t>GR-2089</t>
        </is>
      </c>
      <c r="B26" t="n" s="5">
        <f>Account_Routing!D32</f>
        <v>24.7</v>
      </c>
      <c r="C26" t="n" s="5">
        <f>Account_Routing!E32</f>
        <v>14</v>
      </c>
      <c r="D26" t="n" s="5">
        <f>C26-B26</f>
        <v>-10.7</v>
      </c>
      <c r="E26" s="6" t="inlineStr">
        <is>
          <t>granite_ridge_loss_run_36mo.csv vs granite_ridge_renewal_accounts.csv</t>
        </is>
      </c>
    </row>
    <row r="27" ht="45" customHeight="1">
      <c r="A27" s="5" t="inlineStr">
        <is>
          <t>GR-2092</t>
        </is>
      </c>
      <c r="B27" t="n" s="5">
        <f>Account_Routing!D33</f>
        <v>16</v>
      </c>
      <c r="C27" t="n" s="5">
        <f>Account_Routing!E33</f>
        <v>25.4</v>
      </c>
      <c r="D27" t="n" s="5">
        <f>C27-B27</f>
        <v>9.4</v>
      </c>
      <c r="E27" s="6" t="inlineStr">
        <is>
          <t>granite_ridge_loss_run_36mo.csv vs granite_ridge_renewal_accounts.csv</t>
        </is>
      </c>
    </row>
    <row r="28" ht="45" customHeight="1">
      <c r="A28" s="5" t="inlineStr">
        <is>
          <t>GR-2113</t>
        </is>
      </c>
      <c r="B28" t="n" s="5">
        <f>Account_Routing!D34</f>
        <v>28.4</v>
      </c>
      <c r="C28" t="n" s="5">
        <f>Account_Routing!E34</f>
        <v>16.5</v>
      </c>
      <c r="D28" t="n" s="5">
        <f>C28-B28</f>
        <v>-11.9</v>
      </c>
      <c r="E28" s="6" t="inlineStr">
        <is>
          <t>granite_ridge_loss_run_36mo.csv vs granite_ridge_renewal_accounts.csv</t>
        </is>
      </c>
    </row>
    <row r="29" ht="45" customHeight="1">
      <c r="A29" s="5" t="inlineStr">
        <is>
          <t>GR-2162</t>
        </is>
      </c>
      <c r="B29" t="n" s="5">
        <f>Account_Routing!D35</f>
        <v>31.8</v>
      </c>
      <c r="C29" t="n" s="5">
        <f>Account_Routing!E35</f>
        <v>67.5</v>
      </c>
      <c r="D29" t="n" s="5">
        <f>C29-B29</f>
        <v>35.7</v>
      </c>
      <c r="E29" s="6" t="inlineStr">
        <is>
          <t>granite_ridge_loss_run_36mo.csv vs granite_ridge_renewal_accounts.csv</t>
        </is>
      </c>
    </row>
    <row r="30" ht="45" customHeight="1">
      <c r="A30" s="5" t="inlineStr">
        <is>
          <t>GR-2195</t>
        </is>
      </c>
      <c r="B30" t="n" s="5">
        <f>Account_Routing!D36</f>
        <v>48.2</v>
      </c>
      <c r="C30" t="n" s="5">
        <f>Account_Routing!E36</f>
        <v>292.3</v>
      </c>
      <c r="D30" t="n" s="5">
        <f>C30-B30</f>
        <v>244.1</v>
      </c>
      <c r="E30" s="6" t="inlineStr">
        <is>
          <t>granite_ridge_loss_run_36mo.csv vs granite_ridge_renewal_accounts.csv</t>
        </is>
      </c>
    </row>
    <row r="31" ht="45" customHeight="1">
      <c r="A31" s="5" t="inlineStr">
        <is>
          <t>GR-2200</t>
        </is>
      </c>
      <c r="B31" t="n" s="5">
        <f>Account_Routing!D37</f>
        <v>26.3</v>
      </c>
      <c r="C31" t="n" s="5">
        <f>Account_Routing!E37</f>
        <v>16.6</v>
      </c>
      <c r="D31" t="n" s="5">
        <f>C31-B31</f>
        <v>-9.7</v>
      </c>
      <c r="E31" s="6" t="inlineStr">
        <is>
          <t>granite_ridge_loss_run_36mo.csv vs granite_ridge_renewal_accounts.csv</t>
        </is>
      </c>
    </row>
  </sheetData>
  <autoFilter ref="A1:E31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36" customWidth="1" min="3" max="3"/>
  </cols>
  <sheetData>
    <row r="1" ht="28" customHeight="1">
      <c r="A1" s="4" t="inlineStr">
        <is>
          <t>rule_topic</t>
        </is>
      </c>
      <c r="B1" s="4" t="inlineStr">
        <is>
          <t>section</t>
        </is>
      </c>
      <c r="C1" s="4" t="inlineStr">
        <is>
          <t>source_file</t>
        </is>
      </c>
    </row>
    <row r="2" ht="45" customHeight="1">
      <c r="A2" s="6" t="inlineStr">
        <is>
          <t>Loss ratio decline/refer thresholds</t>
        </is>
      </c>
      <c r="B2" s="5" t="inlineStr">
        <is>
          <t>Section 3</t>
        </is>
      </c>
      <c r="C2" s="5" t="inlineStr">
        <is>
          <t>granite_ridge_routing_notes.txt</t>
        </is>
      </c>
    </row>
    <row r="3" ht="45" customHeight="1">
      <c r="A3" s="6" t="inlineStr">
        <is>
          <t>Single-location incurred referral</t>
        </is>
      </c>
      <c r="B3" s="5" t="inlineStr">
        <is>
          <t>Section 3</t>
        </is>
      </c>
      <c r="C3" s="5" t="inlineStr">
        <is>
          <t>granite_ridge_routing_notes.txt</t>
        </is>
      </c>
    </row>
    <row r="4" ht="45" customHeight="1">
      <c r="A4" s="6" t="inlineStr">
        <is>
          <t>Unit count reconciliation tolerance</t>
        </is>
      </c>
      <c r="B4" s="5" t="inlineStr">
        <is>
          <t>Section 4</t>
        </is>
      </c>
      <c r="C4" s="5" t="inlineStr">
        <is>
          <t>granite_ridge_routing_notes.txt</t>
        </is>
      </c>
    </row>
    <row r="5" ht="45" customHeight="1">
      <c r="A5" s="6" t="inlineStr">
        <is>
          <t>TIV reconciliation tolerance</t>
        </is>
      </c>
      <c r="B5" s="5" t="inlineStr">
        <is>
          <t>Section 4</t>
        </is>
      </c>
      <c r="C5" s="5" t="inlineStr">
        <is>
          <t>granite_ridge_routing_notes.txt</t>
        </is>
      </c>
    </row>
    <row r="6" ht="45" customHeight="1">
      <c r="A6" s="6" t="inlineStr">
        <is>
          <t>Life-safety inspection lapse referral</t>
        </is>
      </c>
      <c r="B6" s="5" t="inlineStr">
        <is>
          <t>Section 5</t>
        </is>
      </c>
      <c r="C6" s="5" t="inlineStr">
        <is>
          <t>granite_ridge_routing_notes.txt</t>
        </is>
      </c>
    </row>
    <row r="7" ht="45" customHeight="1">
      <c r="A7" s="6" t="inlineStr">
        <is>
          <t>Pool remediation referral</t>
        </is>
      </c>
      <c r="B7" s="5" t="inlineStr">
        <is>
          <t>Section 5</t>
        </is>
      </c>
      <c r="C7" s="5" t="inlineStr">
        <is>
          <t>granite_ridge_routing_notes.txt</t>
        </is>
      </c>
    </row>
    <row r="8" ht="45" customHeight="1">
      <c r="A8" s="6" t="inlineStr">
        <is>
          <t>Subsidized housing endorsement requirement</t>
        </is>
      </c>
      <c r="B8" s="5" t="inlineStr">
        <is>
          <t>Section 6</t>
        </is>
      </c>
      <c r="C8" s="5" t="inlineStr">
        <is>
          <t>granite_ridge_routing_notes.txt</t>
        </is>
      </c>
    </row>
    <row r="9" ht="45" customHeight="1">
      <c r="A9" s="6" t="inlineStr">
        <is>
          <t>Vacancy broker confirmation</t>
        </is>
      </c>
      <c r="B9" s="5" t="inlineStr">
        <is>
          <t>Section 6</t>
        </is>
      </c>
      <c r="C9" s="5" t="inlineStr">
        <is>
          <t>granite_ridge_routing_notes.txt</t>
        </is>
      </c>
    </row>
    <row r="10" ht="45" customHeight="1">
      <c r="A10" s="6" t="inlineStr">
        <is>
          <t>Cat loss exclusion from attritional LR</t>
        </is>
      </c>
      <c r="B10" s="5" t="inlineStr">
        <is>
          <t>Section 9</t>
        </is>
      </c>
      <c r="C10" s="5" t="inlineStr">
        <is>
          <t>granite_ridge_routing_notes.txt</t>
        </is>
      </c>
    </row>
    <row r="11" ht="45" customHeight="1">
      <c r="A11" s="6" t="inlineStr">
        <is>
          <t>Student housing appetite note — submit GRP-APPETITE before bind</t>
        </is>
      </c>
      <c r="B11" s="5" t="inlineStr">
        <is>
          <t>Section 10</t>
        </is>
      </c>
      <c r="C11" s="5" t="inlineStr">
        <is>
          <t>granite_ridge_routing_notes.txt</t>
        </is>
      </c>
    </row>
  </sheetData>
  <autoFilter ref="A1:C11"/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</cols>
  <sheetData>
    <row r="1" ht="28" customHeight="1">
      <c r="A1" s="4" t="inlineStr">
        <is>
          <t>account_id</t>
        </is>
      </c>
      <c r="B1" s="4" t="inlineStr">
        <is>
          <t>named_insured</t>
        </is>
      </c>
      <c r="C1" s="4" t="inlineStr">
        <is>
          <t>expiring_premium</t>
        </is>
      </c>
      <c r="D1" s="4" t="inlineStr">
        <is>
          <t>list_loss_ratio</t>
        </is>
      </c>
    </row>
    <row r="2">
      <c r="A2" s="5" t="inlineStr">
        <is>
          <t>GR-2001</t>
        </is>
      </c>
      <c r="B2" s="5" t="inlineStr">
        <is>
          <t>Ashland Court Apts LP</t>
        </is>
      </c>
      <c r="C2" s="5" t="n">
        <v>55299.51</v>
      </c>
      <c r="D2" s="5" t="n">
        <v>25.9</v>
      </c>
    </row>
    <row r="3">
      <c r="A3" s="5" t="inlineStr">
        <is>
          <t>GR-2004</t>
        </is>
      </c>
      <c r="B3" s="5" t="inlineStr">
        <is>
          <t>Berwyn Arms LLC</t>
        </is>
      </c>
      <c r="C3" s="5" t="n">
        <v>75553.66</v>
      </c>
      <c r="D3" s="5" t="n">
        <v>12.8</v>
      </c>
    </row>
    <row r="4">
      <c r="A4" s="5" t="inlineStr">
        <is>
          <t>GR-2007</t>
        </is>
      </c>
      <c r="B4" s="5" t="inlineStr">
        <is>
          <t>Campus Edge Housing Co.</t>
        </is>
      </c>
      <c r="C4" s="5" t="n">
        <v>67915.72</v>
      </c>
      <c r="D4" s="5" t="n">
        <v>17.9</v>
      </c>
    </row>
    <row r="5">
      <c r="A5" s="5" t="inlineStr">
        <is>
          <t>GR-2010</t>
        </is>
      </c>
      <c r="B5" s="5" t="inlineStr">
        <is>
          <t>Damen Square Residences</t>
        </is>
      </c>
      <c r="C5" s="5" t="n">
        <v>87072.61</v>
      </c>
      <c r="D5" s="5" t="n">
        <v>17.1</v>
      </c>
    </row>
    <row r="6">
      <c r="A6" s="5" t="inlineStr">
        <is>
          <t>GR-2013</t>
        </is>
      </c>
      <c r="B6" s="5" t="inlineStr">
        <is>
          <t>Eastgate Manor LLC</t>
        </is>
      </c>
      <c r="C6" s="5" t="n">
        <v>55911.94</v>
      </c>
      <c r="D6" s="5" t="n">
        <v>20.5</v>
      </c>
    </row>
    <row r="7">
      <c r="A7" s="5" t="inlineStr">
        <is>
          <t>GR-2016</t>
        </is>
      </c>
      <c r="B7" s="5" t="inlineStr">
        <is>
          <t>Fairmount Village Apts</t>
        </is>
      </c>
      <c r="C7" s="5" t="n">
        <v>67173.6</v>
      </c>
      <c r="D7" s="5" t="n">
        <v>30.2</v>
      </c>
    </row>
    <row r="8">
      <c r="A8" s="5" t="inlineStr">
        <is>
          <t>GR-2018</t>
        </is>
      </c>
      <c r="B8" s="5" t="inlineStr">
        <is>
          <t>Glenwood Terrace LLC</t>
        </is>
      </c>
      <c r="C8" s="5" t="n">
        <v>54820</v>
      </c>
      <c r="D8" s="5" t="n">
        <v>18.6</v>
      </c>
    </row>
    <row r="9">
      <c r="A9" s="5" t="inlineStr">
        <is>
          <t>GR-2021</t>
        </is>
      </c>
      <c r="B9" s="5" t="inlineStr">
        <is>
          <t>Halsted Walkup Partners</t>
        </is>
      </c>
      <c r="C9" s="5" t="n">
        <v>69181.2</v>
      </c>
      <c r="D9" s="5" t="n">
        <v>26.8</v>
      </c>
    </row>
    <row r="10">
      <c r="A10" s="5" t="inlineStr">
        <is>
          <t>GR-2024</t>
        </is>
      </c>
      <c r="B10" s="5" t="inlineStr">
        <is>
          <t>Irving Park Rentals Inc</t>
        </is>
      </c>
      <c r="C10" s="5" t="n">
        <v>67304.53</v>
      </c>
      <c r="D10" s="5" t="n">
        <v>17.4</v>
      </c>
    </row>
    <row r="11">
      <c r="A11" s="5" t="inlineStr">
        <is>
          <t>GR-2027</t>
        </is>
      </c>
      <c r="B11" s="5" t="inlineStr">
        <is>
          <t>Jefferson Grove MF LLC</t>
        </is>
      </c>
      <c r="C11" s="5" t="n">
        <v>53257.33</v>
      </c>
      <c r="D11" s="5" t="n">
        <v>21.6</v>
      </c>
    </row>
    <row r="12">
      <c r="A12" s="5" t="inlineStr">
        <is>
          <t>GR-2030</t>
        </is>
      </c>
      <c r="B12" s="5" t="inlineStr">
        <is>
          <t>Kenwood Station Apts</t>
        </is>
      </c>
      <c r="C12" s="5" t="n">
        <v>62730.46</v>
      </c>
      <c r="D12" s="5" t="n">
        <v>21.9</v>
      </c>
    </row>
    <row r="13">
      <c r="A13" s="5" t="inlineStr">
        <is>
          <t>GR-2033</t>
        </is>
      </c>
      <c r="B13" s="5" t="inlineStr">
        <is>
          <t>Lincolnwood Place LLC</t>
        </is>
      </c>
      <c r="C13" s="5" t="n">
        <v>52180</v>
      </c>
      <c r="D13" s="5" t="n">
        <v>19.2</v>
      </c>
    </row>
    <row r="14">
      <c r="A14" s="5" t="inlineStr">
        <is>
          <t>GR-2036</t>
        </is>
      </c>
      <c r="B14" s="5" t="inlineStr">
        <is>
          <t>Monon Trail Residences</t>
        </is>
      </c>
      <c r="C14" s="5" t="n">
        <v>52729.12</v>
      </c>
      <c r="D14" s="5" t="n">
        <v>13.1</v>
      </c>
    </row>
    <row r="15">
      <c r="A15" s="5" t="inlineStr">
        <is>
          <t>GR-2039</t>
        </is>
      </c>
      <c r="B15" s="5" t="inlineStr">
        <is>
          <t>Norwood Court Apts</t>
        </is>
      </c>
      <c r="C15" s="5" t="n">
        <v>54743.51</v>
      </c>
      <c r="D15" s="5" t="n">
        <v>13.5</v>
      </c>
    </row>
    <row r="16">
      <c r="A16" s="5" t="inlineStr">
        <is>
          <t>GR-2042</t>
        </is>
      </c>
      <c r="B16" s="5" t="inlineStr">
        <is>
          <t>Ottawa River Flats</t>
        </is>
      </c>
      <c r="C16" s="5" t="n">
        <v>68307.56</v>
      </c>
      <c r="D16" s="5" t="n">
        <v>16.3</v>
      </c>
    </row>
    <row r="17">
      <c r="A17" s="5" t="inlineStr">
        <is>
          <t>GR-2045</t>
        </is>
      </c>
      <c r="B17" s="5" t="inlineStr">
        <is>
          <t>Pullman Yard Housing</t>
        </is>
      </c>
      <c r="C17" s="5" t="n">
        <v>95337.43</v>
      </c>
      <c r="D17" s="5" t="n">
        <v>27.2</v>
      </c>
    </row>
    <row r="18">
      <c r="A18" s="5" t="inlineStr">
        <is>
          <t>GR-2047</t>
        </is>
      </c>
      <c r="B18" s="5" t="inlineStr">
        <is>
          <t>Quincy Street Apts LLC</t>
        </is>
      </c>
      <c r="C18" s="5" t="n">
        <v>61240</v>
      </c>
      <c r="D18" s="5" t="n">
        <v>21.3</v>
      </c>
    </row>
    <row r="19">
      <c r="A19" s="5" t="inlineStr">
        <is>
          <t>GR-2050</t>
        </is>
      </c>
      <c r="B19" s="5" t="inlineStr">
        <is>
          <t>Ravenswood Arms Co.</t>
        </is>
      </c>
      <c r="C19" s="5" t="n">
        <v>80785.72</v>
      </c>
      <c r="D19" s="5" t="n">
        <v>19.1</v>
      </c>
    </row>
    <row r="20">
      <c r="A20" s="5" t="inlineStr">
        <is>
          <t>GR-2053</t>
        </is>
      </c>
      <c r="B20" s="5" t="inlineStr">
        <is>
          <t>Southport Lane LLC</t>
        </is>
      </c>
      <c r="C20" s="5" t="n">
        <v>56098.72</v>
      </c>
      <c r="D20" s="5" t="n">
        <v>31.4</v>
      </c>
    </row>
    <row r="21">
      <c r="A21" s="5" t="inlineStr">
        <is>
          <t>GR-2056</t>
        </is>
      </c>
      <c r="B21" s="5" t="inlineStr">
        <is>
          <t>Troy Hill Apartments</t>
        </is>
      </c>
      <c r="C21" s="5" t="n">
        <v>44512.79</v>
      </c>
      <c r="D21" s="5" t="n">
        <v>33.9</v>
      </c>
    </row>
    <row r="22">
      <c r="A22" s="5" t="inlineStr">
        <is>
          <t>GR-2059</t>
        </is>
      </c>
      <c r="B22" s="5" t="inlineStr">
        <is>
          <t>Union Depot Lofts LLC</t>
        </is>
      </c>
      <c r="C22" s="5" t="n">
        <v>88435.18</v>
      </c>
      <c r="D22" s="5" t="n">
        <v>23.2</v>
      </c>
    </row>
    <row r="23">
      <c r="A23" s="5" t="inlineStr">
        <is>
          <t>GR-2062</t>
        </is>
      </c>
      <c r="B23" s="5" t="inlineStr">
        <is>
          <t>Vernon Park Residences</t>
        </is>
      </c>
      <c r="C23" s="5" t="n">
        <v>67739.13</v>
      </c>
      <c r="D23" s="5" t="n">
        <v>26.1</v>
      </c>
    </row>
    <row r="24">
      <c r="A24" s="5" t="inlineStr">
        <is>
          <t>GR-2065</t>
        </is>
      </c>
      <c r="B24" s="5" t="inlineStr">
        <is>
          <t>Campus Edge Housing Co.</t>
        </is>
      </c>
      <c r="C24" s="5" t="n">
        <v>60820.87</v>
      </c>
      <c r="D24" s="5" t="n">
        <v>29.7</v>
      </c>
    </row>
    <row r="25">
      <c r="A25" s="5" t="inlineStr">
        <is>
          <t>GR-2068</t>
        </is>
      </c>
      <c r="B25" s="5" t="inlineStr">
        <is>
          <t>Westchester Court LLC</t>
        </is>
      </c>
      <c r="C25" s="5" t="n">
        <v>84020.88</v>
      </c>
      <c r="D25" s="5" t="n">
        <v>21.1</v>
      </c>
    </row>
    <row r="26">
      <c r="A26" s="5" t="inlineStr">
        <is>
          <t>GR-2071</t>
        </is>
      </c>
      <c r="B26" s="5" t="inlineStr">
        <is>
          <t>Buckeye Garden Apts LLC</t>
        </is>
      </c>
      <c r="C26" s="5" t="n">
        <v>49959.06</v>
      </c>
      <c r="D26" s="5" t="n">
        <v>14.8</v>
      </c>
    </row>
    <row r="27">
      <c r="A27" s="5" t="inlineStr">
        <is>
          <t>GR-2074</t>
        </is>
      </c>
      <c r="B27" s="5" t="inlineStr">
        <is>
          <t>Yorktown Flats LLC</t>
        </is>
      </c>
      <c r="C27" s="5" t="n">
        <v>61833.36</v>
      </c>
      <c r="D27" s="5" t="n">
        <v>25.3</v>
      </c>
    </row>
    <row r="28">
      <c r="A28" s="5" t="inlineStr">
        <is>
          <t>GR-2077</t>
        </is>
      </c>
      <c r="B28" s="5" t="inlineStr">
        <is>
          <t>Zion Road Residences</t>
        </is>
      </c>
      <c r="C28" s="5" t="n">
        <v>74207.07</v>
      </c>
      <c r="D28" s="5" t="n">
        <v>15.5</v>
      </c>
    </row>
    <row r="29">
      <c r="A29" s="5" t="inlineStr">
        <is>
          <t>GR-2080</t>
        </is>
      </c>
      <c r="B29" s="5" t="inlineStr">
        <is>
          <t>Archer Avenue Apts LLC</t>
        </is>
      </c>
      <c r="C29" s="5" t="n">
        <v>83442.5</v>
      </c>
      <c r="D29" s="5" t="n">
        <v>14.9</v>
      </c>
    </row>
    <row r="30">
      <c r="A30" s="5" t="inlineStr">
        <is>
          <t>GR-2083</t>
        </is>
      </c>
      <c r="B30" s="5" t="inlineStr">
        <is>
          <t>Belmont Court Partners</t>
        </is>
      </c>
      <c r="C30" s="5" t="n">
        <v>77606.69</v>
      </c>
      <c r="D30" s="5" t="n">
        <v>28.4</v>
      </c>
    </row>
    <row r="31">
      <c r="A31" s="5" t="inlineStr">
        <is>
          <t>GR-2086</t>
        </is>
      </c>
      <c r="B31" s="5" t="inlineStr">
        <is>
          <t>Cermak Place LLC</t>
        </is>
      </c>
      <c r="C31" s="5" t="n">
        <v>93807.95</v>
      </c>
      <c r="D31" s="5" t="n">
        <v>16.1</v>
      </c>
    </row>
    <row r="32">
      <c r="A32" s="5" t="inlineStr">
        <is>
          <t>GR-2089</t>
        </is>
      </c>
      <c r="B32" s="5" t="inlineStr">
        <is>
          <t>Devonshire Arms LLC</t>
        </is>
      </c>
      <c r="C32" s="5" t="n">
        <v>67380</v>
      </c>
      <c r="D32" s="5" t="n">
        <v>24.7</v>
      </c>
    </row>
    <row r="33">
      <c r="A33" s="5" t="inlineStr">
        <is>
          <t>GR-2092</t>
        </is>
      </c>
      <c r="B33" s="5" t="inlineStr">
        <is>
          <t>Elston Crossing Apts</t>
        </is>
      </c>
      <c r="C33" s="5" t="n">
        <v>52150.45</v>
      </c>
      <c r="D33" s="5" t="n">
        <v>16</v>
      </c>
    </row>
    <row r="34">
      <c r="A34" s="5" t="inlineStr">
        <is>
          <t>GR-2113</t>
        </is>
      </c>
      <c r="B34" s="5" t="inlineStr">
        <is>
          <t>Fulton Market Residences</t>
        </is>
      </c>
      <c r="C34" s="5" t="n">
        <v>78450</v>
      </c>
      <c r="D34" s="5" t="n">
        <v>28.4</v>
      </c>
    </row>
    <row r="35">
      <c r="A35" s="5" t="inlineStr">
        <is>
          <t>GR-2162</t>
        </is>
      </c>
      <c r="B35" s="5" t="inlineStr">
        <is>
          <t>Grandview Portfolio LLC</t>
        </is>
      </c>
      <c r="C35" s="5" t="n">
        <v>392850</v>
      </c>
      <c r="D35" s="5" t="n">
        <v>31.8</v>
      </c>
    </row>
    <row r="36">
      <c r="A36" s="5" t="inlineStr">
        <is>
          <t>GR-2195</t>
        </is>
      </c>
      <c r="B36" s="5" t="inlineStr">
        <is>
          <t>Humboldt Yard Apts LLC</t>
        </is>
      </c>
      <c r="C36" s="5" t="n">
        <v>48620</v>
      </c>
      <c r="D36" s="5" t="n">
        <v>48.2</v>
      </c>
    </row>
    <row r="37">
      <c r="A37" s="5" t="inlineStr">
        <is>
          <t>GR-2200</t>
        </is>
      </c>
      <c r="B37" s="5" t="inlineStr">
        <is>
          <t>Indiana Ave Partners LLC</t>
        </is>
      </c>
      <c r="C37" s="5" t="n">
        <v>82603.3</v>
      </c>
      <c r="D37" s="5" t="n">
        <v>26.3</v>
      </c>
    </row>
  </sheetData>
  <autoFilter ref="A1:D37"/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4" t="inlineStr">
        <is>
          <t>loss_id</t>
        </is>
      </c>
      <c r="B1" s="4" t="inlineStr">
        <is>
          <t>account_id</t>
        </is>
      </c>
      <c r="C1" s="4" t="inlineStr">
        <is>
          <t>location_id</t>
        </is>
      </c>
      <c r="D1" s="4" t="inlineStr">
        <is>
          <t>paid_amount</t>
        </is>
      </c>
      <c r="E1" s="4" t="inlineStr">
        <is>
          <t>reserved_amount</t>
        </is>
      </c>
      <c r="F1" s="4" t="inlineStr">
        <is>
          <t>cat_code</t>
        </is>
      </c>
      <c r="G1" s="4" t="inlineStr">
        <is>
          <t>total_incurred</t>
        </is>
      </c>
    </row>
    <row r="2">
      <c r="A2" s="5" t="inlineStr">
        <is>
          <t>LR-0001</t>
        </is>
      </c>
      <c r="B2" s="5" t="inlineStr">
        <is>
          <t>GR-2001</t>
        </is>
      </c>
      <c r="C2" s="5" t="inlineStr">
        <is>
          <t>HAB-2001-A</t>
        </is>
      </c>
      <c r="D2" s="5" t="n">
        <v>6258.27</v>
      </c>
      <c r="E2" s="5" t="n">
        <v>0</v>
      </c>
      <c r="F2" s="5" t="inlineStr"/>
      <c r="G2" t="n" s="5">
        <f>D2+E2</f>
        <v>6258.27</v>
      </c>
    </row>
    <row r="3">
      <c r="A3" s="5" t="inlineStr">
        <is>
          <t>LR-0002</t>
        </is>
      </c>
      <c r="B3" s="5" t="inlineStr">
        <is>
          <t>GR-2004</t>
        </is>
      </c>
      <c r="C3" s="5" t="inlineStr">
        <is>
          <t>HAB-2004-A</t>
        </is>
      </c>
      <c r="D3" s="5" t="n">
        <v>19135.01</v>
      </c>
      <c r="E3" s="5" t="n">
        <v>797.29</v>
      </c>
      <c r="F3" s="5" t="inlineStr"/>
      <c r="G3" t="n" s="5">
        <f>D3+E3</f>
        <v>19932.3</v>
      </c>
    </row>
    <row r="4">
      <c r="A4" s="5" t="inlineStr">
        <is>
          <t>LR-0003</t>
        </is>
      </c>
      <c r="B4" s="5" t="inlineStr">
        <is>
          <t>GR-2007</t>
        </is>
      </c>
      <c r="C4" s="5" t="inlineStr">
        <is>
          <t>HAB-2007-A</t>
        </is>
      </c>
      <c r="D4" s="5" t="n">
        <v>8252.05</v>
      </c>
      <c r="E4" s="5" t="n">
        <v>1019.92</v>
      </c>
      <c r="F4" s="5" t="inlineStr"/>
      <c r="G4" t="n" s="5">
        <f>D4+E4</f>
        <v>9271.97</v>
      </c>
    </row>
    <row r="5">
      <c r="A5" s="5" t="inlineStr">
        <is>
          <t>LR-0004</t>
        </is>
      </c>
      <c r="B5" s="5" t="inlineStr">
        <is>
          <t>GR-2010</t>
        </is>
      </c>
      <c r="C5" s="5" t="inlineStr">
        <is>
          <t>HAB-2010-A</t>
        </is>
      </c>
      <c r="D5" s="5" t="n">
        <v>4321.54</v>
      </c>
      <c r="E5" s="5" t="n">
        <v>948.63</v>
      </c>
      <c r="F5" s="5" t="inlineStr"/>
      <c r="G5" t="n" s="5">
        <f>D5+E5</f>
        <v>5270.17</v>
      </c>
    </row>
    <row r="6">
      <c r="A6" s="5" t="inlineStr">
        <is>
          <t>LR-0005</t>
        </is>
      </c>
      <c r="B6" s="5" t="inlineStr">
        <is>
          <t>GR-2013</t>
        </is>
      </c>
      <c r="C6" s="5" t="inlineStr">
        <is>
          <t>HAB-2013-A</t>
        </is>
      </c>
      <c r="D6" s="5" t="n">
        <v>7327.91</v>
      </c>
      <c r="E6" s="5" t="n">
        <v>5092.28</v>
      </c>
      <c r="F6" s="5" t="inlineStr"/>
      <c r="G6" t="n" s="5">
        <f>D6+E6</f>
        <v>12420.19</v>
      </c>
    </row>
    <row r="7">
      <c r="A7" s="5" t="inlineStr">
        <is>
          <t>LR-0006</t>
        </is>
      </c>
      <c r="B7" s="5" t="inlineStr">
        <is>
          <t>GR-2016</t>
        </is>
      </c>
      <c r="C7" s="5" t="inlineStr">
        <is>
          <t>HAB-2016-A</t>
        </is>
      </c>
      <c r="D7" s="5" t="n">
        <v>5117.35</v>
      </c>
      <c r="E7" s="5" t="n">
        <v>7066.81</v>
      </c>
      <c r="F7" s="5" t="inlineStr"/>
      <c r="G7" t="n" s="5">
        <f>D7+E7</f>
        <v>12184.16</v>
      </c>
    </row>
    <row r="8">
      <c r="A8" s="5" t="inlineStr">
        <is>
          <t>LR-0007</t>
        </is>
      </c>
      <c r="B8" s="5" t="inlineStr">
        <is>
          <t>GR-2018</t>
        </is>
      </c>
      <c r="C8" s="5" t="inlineStr">
        <is>
          <t>HAB-2018-A</t>
        </is>
      </c>
      <c r="D8" s="5" t="n">
        <v>4860</v>
      </c>
      <c r="E8" s="5" t="n">
        <v>540</v>
      </c>
      <c r="F8" s="5" t="inlineStr"/>
      <c r="G8" t="n" s="5">
        <f>D8+E8</f>
        <v>5400</v>
      </c>
    </row>
    <row r="9">
      <c r="A9" s="5" t="inlineStr">
        <is>
          <t>LR-0008</t>
        </is>
      </c>
      <c r="B9" s="5" t="inlineStr">
        <is>
          <t>GR-2021</t>
        </is>
      </c>
      <c r="C9" s="5" t="inlineStr">
        <is>
          <t>HAB-2021-A</t>
        </is>
      </c>
      <c r="D9" s="5" t="n">
        <v>3187.5</v>
      </c>
      <c r="E9" s="5" t="n">
        <v>8196.43</v>
      </c>
      <c r="F9" s="5" t="inlineStr"/>
      <c r="G9" t="n" s="5">
        <f>D9+E9</f>
        <v>11383.93</v>
      </c>
    </row>
    <row r="10">
      <c r="A10" s="5" t="inlineStr">
        <is>
          <t>LR-0009</t>
        </is>
      </c>
      <c r="B10" s="5" t="inlineStr">
        <is>
          <t>GR-2024</t>
        </is>
      </c>
      <c r="C10" s="5" t="inlineStr">
        <is>
          <t>HAB-2024-A</t>
        </is>
      </c>
      <c r="D10" s="5" t="n">
        <v>18627.93</v>
      </c>
      <c r="E10" s="5" t="n">
        <v>0</v>
      </c>
      <c r="F10" s="5" t="inlineStr"/>
      <c r="G10" t="n" s="5">
        <f>D10+E10</f>
        <v>18627.93</v>
      </c>
    </row>
    <row r="11">
      <c r="A11" s="5" t="inlineStr">
        <is>
          <t>LR-0010</t>
        </is>
      </c>
      <c r="B11" s="5" t="inlineStr">
        <is>
          <t>GR-2027</t>
        </is>
      </c>
      <c r="C11" s="5" t="inlineStr">
        <is>
          <t>HAB-2027-A</t>
        </is>
      </c>
      <c r="D11" s="5" t="n">
        <v>5943.03</v>
      </c>
      <c r="E11" s="5" t="n">
        <v>247.63</v>
      </c>
      <c r="F11" s="5" t="inlineStr"/>
      <c r="G11" t="n" s="5">
        <f>D11+E11</f>
        <v>6190.66</v>
      </c>
    </row>
    <row r="12">
      <c r="A12" s="5" t="inlineStr">
        <is>
          <t>LR-0011</t>
        </is>
      </c>
      <c r="B12" s="5" t="inlineStr">
        <is>
          <t>GR-2030</t>
        </is>
      </c>
      <c r="C12" s="5" t="inlineStr">
        <is>
          <t>HAB-2030-A</t>
        </is>
      </c>
      <c r="D12" s="5" t="n">
        <v>5249.75</v>
      </c>
      <c r="E12" s="5" t="n">
        <v>648.85</v>
      </c>
      <c r="F12" s="5" t="inlineStr"/>
      <c r="G12" t="n" s="5">
        <f>D12+E12</f>
        <v>5898.6</v>
      </c>
    </row>
    <row r="13">
      <c r="A13" s="5" t="inlineStr">
        <is>
          <t>LR-0012</t>
        </is>
      </c>
      <c r="B13" s="5" t="inlineStr">
        <is>
          <t>GR-2033</t>
        </is>
      </c>
      <c r="C13" s="5" t="inlineStr">
        <is>
          <t>HAB-2033-B</t>
        </is>
      </c>
      <c r="D13" s="5" t="n">
        <v>6120</v>
      </c>
      <c r="E13" s="5" t="n">
        <v>0</v>
      </c>
      <c r="F13" s="5" t="inlineStr"/>
      <c r="G13" t="n" s="5">
        <f>D13+E13</f>
        <v>6120</v>
      </c>
    </row>
    <row r="14">
      <c r="A14" s="5" t="inlineStr">
        <is>
          <t>LR-0013</t>
        </is>
      </c>
      <c r="B14" s="5" t="inlineStr">
        <is>
          <t>GR-2036</t>
        </is>
      </c>
      <c r="C14" s="5" t="inlineStr">
        <is>
          <t>HAB-2036-A</t>
        </is>
      </c>
      <c r="D14" s="5" t="n">
        <v>9053.9</v>
      </c>
      <c r="E14" s="5" t="n">
        <v>1987.44</v>
      </c>
      <c r="F14" s="5" t="inlineStr"/>
      <c r="G14" t="n" s="5">
        <f>D14+E14</f>
        <v>11041.34</v>
      </c>
    </row>
    <row r="15">
      <c r="A15" s="5" t="inlineStr">
        <is>
          <t>LR-0014</t>
        </is>
      </c>
      <c r="B15" s="5" t="inlineStr">
        <is>
          <t>GR-2039</t>
        </is>
      </c>
      <c r="C15" s="5" t="inlineStr">
        <is>
          <t>HAB-2039-A</t>
        </is>
      </c>
      <c r="D15" s="5" t="n">
        <v>5581.86</v>
      </c>
      <c r="E15" s="5" t="n">
        <v>3878.92</v>
      </c>
      <c r="F15" s="5" t="inlineStr"/>
      <c r="G15" t="n" s="5">
        <f>D15+E15</f>
        <v>9460.78</v>
      </c>
    </row>
    <row r="16">
      <c r="A16" s="5" t="inlineStr">
        <is>
          <t>LR-0015</t>
        </is>
      </c>
      <c r="B16" s="5" t="inlineStr">
        <is>
          <t>GR-2042</t>
        </is>
      </c>
      <c r="C16" s="5" t="inlineStr">
        <is>
          <t>HAB-2042-A</t>
        </is>
      </c>
      <c r="D16" s="5" t="n">
        <v>7437.79</v>
      </c>
      <c r="E16" s="5" t="n">
        <v>10271.24</v>
      </c>
      <c r="F16" s="5" t="inlineStr"/>
      <c r="G16" t="n" s="5">
        <f>D16+E16</f>
        <v>17709.03</v>
      </c>
    </row>
    <row r="17">
      <c r="A17" s="5" t="inlineStr">
        <is>
          <t>LR-0016</t>
        </is>
      </c>
      <c r="B17" s="5" t="inlineStr">
        <is>
          <t>GR-2045</t>
        </is>
      </c>
      <c r="C17" s="5" t="inlineStr">
        <is>
          <t>HAB-2045-A</t>
        </is>
      </c>
      <c r="D17" s="5" t="n">
        <v>3643.77</v>
      </c>
      <c r="E17" s="5" t="n">
        <v>9369.69</v>
      </c>
      <c r="F17" s="5" t="inlineStr"/>
      <c r="G17" t="n" s="5">
        <f>D17+E17</f>
        <v>13013.46</v>
      </c>
    </row>
    <row r="18">
      <c r="A18" s="5" t="inlineStr">
        <is>
          <t>LR-0017</t>
        </is>
      </c>
      <c r="B18" s="5" t="inlineStr">
        <is>
          <t>GR-2047</t>
        </is>
      </c>
      <c r="C18" s="5" t="inlineStr">
        <is>
          <t>HAB-2047-A</t>
        </is>
      </c>
      <c r="D18" s="5" t="n">
        <v>3600</v>
      </c>
      <c r="E18" s="5" t="n">
        <v>1200</v>
      </c>
      <c r="F18" s="5" t="inlineStr"/>
      <c r="G18" t="n" s="5">
        <f>D18+E18</f>
        <v>4800</v>
      </c>
    </row>
    <row r="19">
      <c r="A19" s="5" t="inlineStr">
        <is>
          <t>LR-0018</t>
        </is>
      </c>
      <c r="B19" s="5" t="inlineStr">
        <is>
          <t>GR-2050</t>
        </is>
      </c>
      <c r="C19" s="5" t="inlineStr">
        <is>
          <t>HAB-2050-A</t>
        </is>
      </c>
      <c r="D19" s="5" t="n">
        <v>11511.3</v>
      </c>
      <c r="E19" s="5" t="n">
        <v>0</v>
      </c>
      <c r="F19" s="5" t="inlineStr"/>
      <c r="G19" t="n" s="5">
        <f>D19+E19</f>
        <v>11511.3</v>
      </c>
    </row>
    <row r="20">
      <c r="A20" s="5" t="inlineStr">
        <is>
          <t>LR-0019</t>
        </is>
      </c>
      <c r="B20" s="5" t="inlineStr">
        <is>
          <t>GR-2053</t>
        </is>
      </c>
      <c r="C20" s="5" t="inlineStr">
        <is>
          <t>HAB-2053-A</t>
        </is>
      </c>
      <c r="D20" s="5" t="n">
        <v>11396.76</v>
      </c>
      <c r="E20" s="5" t="n">
        <v>474.87</v>
      </c>
      <c r="F20" s="5" t="inlineStr"/>
      <c r="G20" t="n" s="5">
        <f>D20+E20</f>
        <v>11871.63</v>
      </c>
    </row>
    <row r="21">
      <c r="A21" s="5" t="inlineStr">
        <is>
          <t>LR-0020</t>
        </is>
      </c>
      <c r="B21" s="5" t="inlineStr">
        <is>
          <t>GR-2056</t>
        </is>
      </c>
      <c r="C21" s="5" t="inlineStr">
        <is>
          <t>HAB-2056-A</t>
        </is>
      </c>
      <c r="D21" s="5" t="n">
        <v>8868.43</v>
      </c>
      <c r="E21" s="5" t="n">
        <v>1096.1</v>
      </c>
      <c r="F21" s="5" t="inlineStr"/>
      <c r="G21" t="n" s="5">
        <f>D21+E21</f>
        <v>9964.53</v>
      </c>
    </row>
    <row r="22">
      <c r="A22" s="5" t="inlineStr">
        <is>
          <t>LR-0021</t>
        </is>
      </c>
      <c r="B22" s="5" t="inlineStr">
        <is>
          <t>GR-2059</t>
        </is>
      </c>
      <c r="C22" s="5" t="inlineStr">
        <is>
          <t>HAB-2059-A</t>
        </is>
      </c>
      <c r="D22" s="5" t="n">
        <v>18263.79</v>
      </c>
      <c r="E22" s="5" t="n">
        <v>4009.13</v>
      </c>
      <c r="F22" s="5" t="inlineStr"/>
      <c r="G22" t="n" s="5">
        <f>D22+E22</f>
        <v>22272.92</v>
      </c>
    </row>
    <row r="23">
      <c r="A23" s="5" t="inlineStr">
        <is>
          <t>LR-0022</t>
        </is>
      </c>
      <c r="B23" s="5" t="inlineStr">
        <is>
          <t>GR-2062</t>
        </is>
      </c>
      <c r="C23" s="5" t="inlineStr">
        <is>
          <t>HAB-2062-A</t>
        </is>
      </c>
      <c r="D23" s="5" t="n">
        <v>7675.51</v>
      </c>
      <c r="E23" s="5" t="n">
        <v>5333.83</v>
      </c>
      <c r="F23" s="5" t="inlineStr"/>
      <c r="G23" t="n" s="5">
        <f>D23+E23</f>
        <v>13009.34</v>
      </c>
    </row>
    <row r="24">
      <c r="A24" s="5" t="inlineStr">
        <is>
          <t>LR-0023</t>
        </is>
      </c>
      <c r="B24" s="5" t="inlineStr">
        <is>
          <t>GR-2065</t>
        </is>
      </c>
      <c r="C24" s="5" t="inlineStr">
        <is>
          <t>HAB-2065-A</t>
        </is>
      </c>
      <c r="D24" s="5" t="n">
        <v>1896.74</v>
      </c>
      <c r="E24" s="5" t="n">
        <v>2619.31</v>
      </c>
      <c r="F24" s="5" t="inlineStr"/>
      <c r="G24" t="n" s="5">
        <f>D24+E24</f>
        <v>4516.05</v>
      </c>
    </row>
    <row r="25">
      <c r="A25" s="5" t="inlineStr">
        <is>
          <t>LR-0024</t>
        </is>
      </c>
      <c r="B25" s="5" t="inlineStr">
        <is>
          <t>GR-2068</t>
        </is>
      </c>
      <c r="C25" s="5" t="inlineStr">
        <is>
          <t>HAB-2068-A</t>
        </is>
      </c>
      <c r="D25" s="5" t="n">
        <v>2075.4</v>
      </c>
      <c r="E25" s="5" t="n">
        <v>5336.73</v>
      </c>
      <c r="F25" s="5" t="inlineStr"/>
      <c r="G25" t="n" s="5">
        <f>D25+E25</f>
        <v>7412.13</v>
      </c>
    </row>
    <row r="26">
      <c r="A26" s="5" t="inlineStr">
        <is>
          <t>LR-0025</t>
        </is>
      </c>
      <c r="B26" s="5" t="inlineStr">
        <is>
          <t>GR-2071</t>
        </is>
      </c>
      <c r="C26" s="5" t="inlineStr">
        <is>
          <t>HAB-2071-A</t>
        </is>
      </c>
      <c r="D26" s="5" t="n">
        <v>4796.53</v>
      </c>
      <c r="E26" s="5" t="n">
        <v>0</v>
      </c>
      <c r="F26" s="5" t="inlineStr"/>
      <c r="G26" t="n" s="5">
        <f>D26+E26</f>
        <v>4796.53</v>
      </c>
    </row>
    <row r="27">
      <c r="A27" s="5" t="inlineStr">
        <is>
          <t>LR-0026</t>
        </is>
      </c>
      <c r="B27" s="5" t="inlineStr">
        <is>
          <t>GR-2074</t>
        </is>
      </c>
      <c r="C27" s="5" t="inlineStr">
        <is>
          <t>HAB-2074-A</t>
        </is>
      </c>
      <c r="D27" s="5" t="n">
        <v>6309</v>
      </c>
      <c r="E27" s="5" t="n">
        <v>262.88</v>
      </c>
      <c r="F27" s="5" t="inlineStr"/>
      <c r="G27" t="n" s="5">
        <f>D27+E27</f>
        <v>6571.88</v>
      </c>
    </row>
    <row r="28">
      <c r="A28" s="5" t="inlineStr">
        <is>
          <t>LR-0027</t>
        </is>
      </c>
      <c r="B28" s="5" t="inlineStr">
        <is>
          <t>GR-2077</t>
        </is>
      </c>
      <c r="C28" s="5" t="inlineStr">
        <is>
          <t>HAB-2077-A</t>
        </is>
      </c>
      <c r="D28" s="5" t="n">
        <v>16871.08</v>
      </c>
      <c r="E28" s="5" t="n">
        <v>2085.19</v>
      </c>
      <c r="F28" s="5" t="inlineStr"/>
      <c r="G28" t="n" s="5">
        <f>D28+E28</f>
        <v>18956.27</v>
      </c>
    </row>
    <row r="29">
      <c r="A29" s="5" t="inlineStr">
        <is>
          <t>LR-0028</t>
        </is>
      </c>
      <c r="B29" s="5" t="inlineStr">
        <is>
          <t>GR-2080</t>
        </is>
      </c>
      <c r="C29" s="5" t="inlineStr">
        <is>
          <t>HAB-2080-A</t>
        </is>
      </c>
      <c r="D29" s="5" t="n">
        <v>8604.65</v>
      </c>
      <c r="E29" s="5" t="n">
        <v>1888.82</v>
      </c>
      <c r="F29" s="5" t="inlineStr"/>
      <c r="G29" t="n" s="5">
        <f>D29+E29</f>
        <v>10493.47</v>
      </c>
    </row>
    <row r="30">
      <c r="A30" s="5" t="inlineStr">
        <is>
          <t>LR-0029</t>
        </is>
      </c>
      <c r="B30" s="5" t="inlineStr">
        <is>
          <t>GR-2083</t>
        </is>
      </c>
      <c r="C30" s="5" t="inlineStr">
        <is>
          <t>HAB-2083-A</t>
        </is>
      </c>
      <c r="D30" s="5" t="n">
        <v>4735.87</v>
      </c>
      <c r="E30" s="5" t="n">
        <v>3291.02</v>
      </c>
      <c r="F30" s="5" t="inlineStr"/>
      <c r="G30" t="n" s="5">
        <f>D30+E30</f>
        <v>8026.89</v>
      </c>
    </row>
    <row r="31">
      <c r="A31" s="5" t="inlineStr">
        <is>
          <t>LR-0030</t>
        </is>
      </c>
      <c r="B31" s="5" t="inlineStr">
        <is>
          <t>GR-2086</t>
        </is>
      </c>
      <c r="C31" s="5" t="inlineStr">
        <is>
          <t>HAB-2086-A</t>
        </is>
      </c>
      <c r="D31" s="5" t="n">
        <v>10667.35</v>
      </c>
      <c r="E31" s="5" t="n">
        <v>14731.1</v>
      </c>
      <c r="F31" s="5" t="inlineStr"/>
      <c r="G31" t="n" s="5">
        <f>D31+E31</f>
        <v>25398.45</v>
      </c>
    </row>
    <row r="32">
      <c r="A32" s="5" t="inlineStr">
        <is>
          <t>LR-0031</t>
        </is>
      </c>
      <c r="B32" s="5" t="inlineStr">
        <is>
          <t>GR-2089</t>
        </is>
      </c>
      <c r="C32" s="5" t="inlineStr">
        <is>
          <t>HAB-2089-A</t>
        </is>
      </c>
      <c r="D32" s="5" t="n">
        <v>6580</v>
      </c>
      <c r="E32" s="5" t="n">
        <v>2840</v>
      </c>
      <c r="F32" s="5" t="inlineStr"/>
      <c r="G32" t="n" s="5">
        <f>D32+E32</f>
        <v>9420</v>
      </c>
    </row>
    <row r="33">
      <c r="A33" s="5" t="inlineStr">
        <is>
          <t>LR-0032</t>
        </is>
      </c>
      <c r="B33" s="5" t="inlineStr">
        <is>
          <t>GR-2092</t>
        </is>
      </c>
      <c r="C33" s="5" t="inlineStr">
        <is>
          <t>HAB-2092-A</t>
        </is>
      </c>
      <c r="D33" s="5" t="n">
        <v>3702.53</v>
      </c>
      <c r="E33" s="5" t="n">
        <v>9520.79</v>
      </c>
      <c r="F33" s="5" t="inlineStr"/>
      <c r="G33" t="n" s="5">
        <f>D33+E33</f>
        <v>13223.32</v>
      </c>
    </row>
    <row r="34">
      <c r="A34" s="5" t="inlineStr">
        <is>
          <t>LR-0033</t>
        </is>
      </c>
      <c r="B34" s="5" t="inlineStr">
        <is>
          <t>GR-2113</t>
        </is>
      </c>
      <c r="C34" s="5" t="inlineStr">
        <is>
          <t>HAB-2113-A</t>
        </is>
      </c>
      <c r="D34" s="5" t="n">
        <v>5560</v>
      </c>
      <c r="E34" s="5" t="n">
        <v>2400</v>
      </c>
      <c r="F34" s="5" t="inlineStr"/>
      <c r="G34" t="n" s="5">
        <f>D34+E34</f>
        <v>7960</v>
      </c>
    </row>
    <row r="35">
      <c r="A35" s="5" t="inlineStr">
        <is>
          <t>LR-0034</t>
        </is>
      </c>
      <c r="B35" s="5" t="inlineStr">
        <is>
          <t>GR-2113</t>
        </is>
      </c>
      <c r="C35" s="5" t="inlineStr">
        <is>
          <t>HAB-2113-B</t>
        </is>
      </c>
      <c r="D35" s="5" t="n">
        <v>4980</v>
      </c>
      <c r="E35" s="5" t="n">
        <v>0</v>
      </c>
      <c r="F35" s="5" t="inlineStr"/>
      <c r="G35" t="n" s="5">
        <f>D35+E35</f>
        <v>4980</v>
      </c>
    </row>
    <row r="36">
      <c r="A36" s="5" t="inlineStr">
        <is>
          <t>LR-0035</t>
        </is>
      </c>
      <c r="B36" s="5" t="inlineStr">
        <is>
          <t>GR-2162</t>
        </is>
      </c>
      <c r="C36" s="5" t="inlineStr">
        <is>
          <t>HAB-2162-A</t>
        </is>
      </c>
      <c r="D36" s="5" t="n">
        <v>5240</v>
      </c>
      <c r="E36" s="5" t="n">
        <v>0</v>
      </c>
      <c r="F36" s="5" t="inlineStr"/>
      <c r="G36" t="n" s="5">
        <f>D36+E36</f>
        <v>5240</v>
      </c>
    </row>
    <row r="37">
      <c r="A37" s="5" t="inlineStr">
        <is>
          <t>LR-0036</t>
        </is>
      </c>
      <c r="B37" s="5" t="inlineStr">
        <is>
          <t>GR-2162</t>
        </is>
      </c>
      <c r="C37" s="5" t="inlineStr">
        <is>
          <t>HAB-2162-C</t>
        </is>
      </c>
      <c r="D37" s="5" t="n">
        <v>187640</v>
      </c>
      <c r="E37" s="5" t="n">
        <v>72480</v>
      </c>
      <c r="F37" s="5" t="inlineStr"/>
      <c r="G37" t="n" s="5">
        <f>D37+E37</f>
        <v>260120</v>
      </c>
    </row>
    <row r="38">
      <c r="A38" s="5" t="inlineStr">
        <is>
          <t>LR-0037</t>
        </is>
      </c>
      <c r="B38" s="5" t="inlineStr">
        <is>
          <t>GR-2195</t>
        </is>
      </c>
      <c r="C38" s="5" t="inlineStr">
        <is>
          <t>HAB-2195-A</t>
        </is>
      </c>
      <c r="D38" s="5" t="n">
        <v>43060</v>
      </c>
      <c r="E38" s="5" t="n">
        <v>0</v>
      </c>
      <c r="F38" s="5" t="inlineStr"/>
      <c r="G38" t="n" s="5">
        <f>D38+E38</f>
        <v>43060</v>
      </c>
    </row>
    <row r="39">
      <c r="A39" s="5" t="inlineStr">
        <is>
          <t>LR-0038</t>
        </is>
      </c>
      <c r="B39" s="5" t="inlineStr">
        <is>
          <t>GR-2195</t>
        </is>
      </c>
      <c r="C39" s="5" t="inlineStr">
        <is>
          <t>HAB-2195-A</t>
        </is>
      </c>
      <c r="D39" s="5" t="n">
        <v>22680</v>
      </c>
      <c r="E39" s="5" t="n">
        <v>0</v>
      </c>
      <c r="F39" s="5" t="inlineStr"/>
      <c r="G39" t="n" s="5">
        <f>D39+E39</f>
        <v>22680</v>
      </c>
    </row>
    <row r="40">
      <c r="A40" s="5" t="inlineStr">
        <is>
          <t>LR-0039</t>
        </is>
      </c>
      <c r="B40" s="5" t="inlineStr">
        <is>
          <t>GR-2195</t>
        </is>
      </c>
      <c r="C40" s="5" t="inlineStr">
        <is>
          <t>HAB-2195-B</t>
        </is>
      </c>
      <c r="D40" s="5" t="n">
        <v>28440</v>
      </c>
      <c r="E40" s="5" t="n">
        <v>18620</v>
      </c>
      <c r="F40" s="5" t="inlineStr"/>
      <c r="G40" t="n" s="5">
        <f>D40+E40</f>
        <v>47060</v>
      </c>
    </row>
    <row r="41">
      <c r="A41" s="5" t="inlineStr">
        <is>
          <t>LR-0040</t>
        </is>
      </c>
      <c r="B41" s="5" t="inlineStr">
        <is>
          <t>GR-2195</t>
        </is>
      </c>
      <c r="C41" s="5" t="inlineStr">
        <is>
          <t>HAB-2195-B</t>
        </is>
      </c>
      <c r="D41" s="5" t="n">
        <v>19880</v>
      </c>
      <c r="E41" s="5" t="n">
        <v>9420</v>
      </c>
      <c r="F41" s="5" t="inlineStr"/>
      <c r="G41" t="n" s="5">
        <f>D41+E41</f>
        <v>29300</v>
      </c>
    </row>
    <row r="42">
      <c r="A42" s="5" t="inlineStr">
        <is>
          <t>LR-0041</t>
        </is>
      </c>
      <c r="B42" s="5" t="inlineStr">
        <is>
          <t>GR-2200</t>
        </is>
      </c>
      <c r="C42" s="5" t="inlineStr">
        <is>
          <t>HAB-2200-A</t>
        </is>
      </c>
      <c r="D42" s="5" t="n">
        <v>13137.04</v>
      </c>
      <c r="E42" s="5" t="n">
        <v>547.38</v>
      </c>
      <c r="F42" s="5" t="inlineStr"/>
      <c r="G42" t="n" s="5">
        <f>D42+E42</f>
        <v>13684.42</v>
      </c>
    </row>
    <row r="43">
      <c r="A43" s="5" t="inlineStr">
        <is>
          <t>LR-0042</t>
        </is>
      </c>
      <c r="B43" s="5" t="inlineStr">
        <is>
          <t>GR-2071</t>
        </is>
      </c>
      <c r="C43" s="5" t="inlineStr">
        <is>
          <t>HAB-2071-A</t>
        </is>
      </c>
      <c r="D43" s="5" t="n">
        <v>284600</v>
      </c>
      <c r="E43" s="5" t="n">
        <v>0</v>
      </c>
      <c r="F43" s="5" t="inlineStr">
        <is>
          <t>CAT-2408</t>
        </is>
      </c>
      <c r="G43" t="n" s="5">
        <f>D43+E43</f>
        <v>284600</v>
      </c>
    </row>
  </sheetData>
  <autoFilter ref="A1:G43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2026-09-06T09:05:31Z</dcterms:created>
  <dcterms:modified xsi:type="dcterms:W3CDTF">2026-09-06T09:05:31Z</dcterms:modified>
</cp:coreProperties>
</file>