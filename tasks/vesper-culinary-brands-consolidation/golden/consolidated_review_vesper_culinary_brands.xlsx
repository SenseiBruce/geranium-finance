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Line_Detail" sheetId="2" state="visible" r:id="rId2"/>
    <sheet name="Brand_Rollup" sheetId="3" state="visible" r:id="rId3"/>
    <sheet name="Kiln_Audit" sheetId="4" state="visible" r:id="rId4"/>
    <sheet name="Reconciliation" sheetId="5" state="visible" r:id="rId5"/>
    <sheet name="Notes" sheetId="6" state="visible" r:id="rId6"/>
    <sheet name="Recommendation" sheetId="7" state="visible" r:id="rId7"/>
  </sheets>
  <definedNames>
    <definedName name="_xlnm._FilterDatabase" localSheetId="1" hidden="1">'Line_Detail'!$A$1:$L$38</definedName>
    <definedName name="_xlnm._FilterDatabase" localSheetId="3" hidden="1">'Kiln_Audit'!$A$1:$K$14</definedName>
  </definedNames>
  <calcPr calcId="124519" fullCalcOnLoad="1"/>
</workbook>
</file>

<file path=xl/styles.xml><?xml version="1.0" encoding="utf-8"?>
<styleSheet xmlns="http://schemas.openxmlformats.org/spreadsheetml/2006/main">
  <numFmts count="3">
    <numFmt numFmtId="164" formatCode="0.0000"/>
    <numFmt numFmtId="165" formatCode="&quot;$&quot;#,##0.00"/>
    <numFmt numFmtId="166" formatCode="&quot;€&quot;#,##0.00"/>
  </numFmts>
  <fonts count="6">
    <font>
      <name val="Calibri"/>
      <family val="2"/>
      <color theme="1"/>
      <sz val="11"/>
      <scheme val="minor"/>
    </font>
    <font>
      <b val="1"/>
      <color rgb="001F4E79"/>
      <sz val="14"/>
    </font>
    <font>
      <b val="1"/>
      <color rgb="001F4E79"/>
      <sz val="11"/>
    </font>
    <font>
      <i val="1"/>
      <color rgb="00595959"/>
      <sz val="10"/>
    </font>
    <font>
      <b val="1"/>
      <sz val="11"/>
    </font>
    <font>
      <i val="1"/>
      <color rgb="00595959"/>
      <sz val="9"/>
    </font>
  </fonts>
  <fills count="3">
    <fill>
      <patternFill/>
    </fill>
    <fill>
      <patternFill patternType="gray125"/>
    </fill>
    <fill>
      <patternFill patternType="solid">
        <fgColor rgb="00D6E3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 fillId="0" borderId="0" pivotButton="0" quotePrefix="0" xfId="0"/>
    <xf numFmtId="0" fontId="5" fillId="0" borderId="0" pivotButton="0" quotePrefix="0" xfId="0"/>
    <xf numFmtId="0" fontId="4"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5" topLeftCell="A6" activePane="bottomLeft" state="frozen"/>
      <selection pane="bottomLeft" activeCell="A1" sqref="A1"/>
    </sheetView>
  </sheetViews>
  <sheetFormatPr baseColWidth="8" defaultRowHeight="15"/>
  <cols>
    <col width="52" customWidth="1" min="1" max="1"/>
    <col width="88" customWidth="1" min="2" max="2"/>
  </cols>
  <sheetData>
    <row r="1">
      <c r="A1" s="1" t="inlineStr">
        <is>
          <t>Vesper Culinary Brands — Consolidated Net Revenue Review</t>
        </is>
      </c>
      <c r="B1" s="2" t="n"/>
    </row>
    <row r="2">
      <c r="A2" s="3" t="inlineStr">
        <is>
          <t>Q3 2025 (July 1, 2025 – September 30, 2025)</t>
        </is>
      </c>
      <c r="B2" s="2" t="n"/>
    </row>
    <row r="3">
      <c r="A3" s="4" t="inlineStr">
        <is>
          <t>Sheet: Assumptions | Analysis as of Q3 2025 close (early October 2025)</t>
        </is>
      </c>
    </row>
    <row r="5">
      <c r="A5" s="5" t="inlineStr">
        <is>
          <t>Item</t>
        </is>
      </c>
      <c r="B5" s="5" t="inlineStr">
        <is>
          <t>Value</t>
        </is>
      </c>
    </row>
    <row r="6">
      <c r="A6" t="inlineStr">
        <is>
          <t>Q3 period start</t>
        </is>
      </c>
      <c r="B6" t="inlineStr">
        <is>
          <t>2025-07-01</t>
        </is>
      </c>
    </row>
    <row r="7">
      <c r="A7" t="inlineStr">
        <is>
          <t>Q3 period end</t>
        </is>
      </c>
      <c r="B7" t="inlineStr">
        <is>
          <t>2025-09-30</t>
        </is>
      </c>
    </row>
    <row r="8">
      <c r="A8" t="inlineStr">
        <is>
          <t>EUR/USD board close rate</t>
        </is>
      </c>
      <c r="B8" s="6" t="n">
        <v>1.0874</v>
      </c>
    </row>
    <row r="9">
      <c r="A9" t="inlineStr">
        <is>
          <t>Kiln Spice Works ownership start (modeling date)</t>
        </is>
      </c>
      <c r="B9" t="inlineStr">
        <is>
          <t>2025-08-12</t>
        </is>
      </c>
    </row>
    <row r="10">
      <c r="A10" t="inlineStr">
        <is>
          <t>Kiln ownership days in Q3 (numerator)</t>
        </is>
      </c>
      <c r="B10" t="n">
        <v>50</v>
      </c>
    </row>
    <row r="11">
      <c r="A11" t="inlineStr">
        <is>
          <t>Q3 calendar days (denominator)</t>
        </is>
      </c>
      <c r="B11" t="n">
        <v>92</v>
      </c>
    </row>
    <row r="12">
      <c r="A12" t="inlineStr">
        <is>
          <t>Kiln proration factor (50/92)</t>
        </is>
      </c>
      <c r="B12" t="n">
        <f>B10/B11</f>
        <v>0.5434782609</v>
      </c>
    </row>
    <row r="13">
      <c r="A13" t="inlineStr">
        <is>
          <t>Selected final Kiln ownership method (board)</t>
        </is>
      </c>
      <c r="B13" t="inlineStr">
        <is>
          <t>50/92 proration</t>
        </is>
      </c>
    </row>
    <row r="14">
      <c r="A14" t="inlineStr">
        <is>
          <t>Supported methods (memo)</t>
        </is>
      </c>
      <c r="B14" t="inlineStr">
        <is>
          <t>50/92 proration (governing) | Transaction-date cutoff (conditional)</t>
        </is>
      </c>
    </row>
    <row r="15">
      <c r="A15" t="inlineStr">
        <is>
          <t>Effective Kiln factor applied to selected board figure</t>
        </is>
      </c>
      <c r="B15" t="n">
        <f>IF(B13="Transaction-date cutoff",1,B12)</f>
        <v>0.5434782609</v>
      </c>
    </row>
    <row r="16">
      <c r="A16" t="inlineStr">
        <is>
          <t>Governing FX source</t>
        </is>
      </c>
      <c r="B16" t="inlineStr">
        <is>
          <t>brine_barrel_fx_and_period_reference.txt (1.0874; ignore spot aside 1.1025)</t>
        </is>
      </c>
    </row>
    <row r="17">
      <c r="A17" t="inlineStr">
        <is>
          <t>Brine FX rounding convention</t>
        </is>
      </c>
      <c r="B17" t="inlineStr">
        <is>
          <t>Brine EUR revenue is summed in native EUR before conversion to USD; the converted total is rounded to cents. Line-level USD rounding is not used for the consolidated Brine total.</t>
        </is>
      </c>
    </row>
    <row r="18">
      <c r="A18" t="inlineStr">
        <is>
          <t>Governing acquisition / 50/92 source</t>
        </is>
      </c>
      <c r="B18" t="inlineStr">
        <is>
          <t>50/92 ownership/proration method — governed by kiln_spice_acquisition_memo.txt</t>
        </is>
      </c>
    </row>
    <row r="19">
      <c r="A19" t="inlineStr">
        <is>
          <t>Reporting period label</t>
        </is>
      </c>
      <c r="B19" t="inlineStr">
        <is>
          <t>2025-07-01 to 2025-09-30</t>
        </is>
      </c>
    </row>
    <row r="20">
      <c r="A20" t="inlineStr">
        <is>
          <t>Acquisition transaction document</t>
        </is>
      </c>
      <c r="B20" t="inlineStr">
        <is>
          <t>Stock purchase agreement (signed 2025-08-06; close 2025-08-12)</t>
        </is>
      </c>
    </row>
    <row r="21">
      <c r="A21" t="inlineStr">
        <is>
          <t>As-of date for this exercise</t>
        </is>
      </c>
      <c r="B21" t="inlineStr">
        <is>
          <t>Early October 2025 (historical Q3 2025 close)</t>
        </is>
      </c>
    </row>
    <row r="22">
      <c r="A22" t="inlineStr">
        <is>
          <t>Approval evidence in supplied packet (cutoff method)</t>
        </is>
      </c>
      <c r="B22" t="inlineStr">
        <is>
          <t>Approval evidence in supplied packet: not present</t>
        </is>
      </c>
    </row>
    <row r="23">
      <c r="A23" t="inlineStr">
        <is>
          <t>Cutoff scenario label</t>
        </is>
      </c>
      <c r="B23" t="inlineStr">
        <is>
          <t>Conditional transaction-date cutoff scenario — approval evidence not present in packet</t>
        </is>
      </c>
    </row>
    <row r="24">
      <c r="A24" t="inlineStr">
        <is>
          <t>Modeling basis (Kiln ownership date)</t>
        </is>
      </c>
      <c r="B24" t="inlineStr">
        <is>
          <t>August 12, 2025 — per acquisition memo</t>
        </is>
      </c>
    </row>
    <row r="25">
      <c r="A25" t="inlineStr">
        <is>
          <t>Ownership Date Evidence Status</t>
        </is>
      </c>
      <c r="B25" t="inlineStr">
        <is>
          <t>Open - supporting records not provided</t>
        </is>
      </c>
    </row>
    <row r="26">
      <c r="A26" t="inlineStr">
        <is>
          <t>Supporting evidence status (ownership date)</t>
        </is>
      </c>
      <c r="B26" t="inlineStr">
        <is>
          <t>Not independently confirmed from Schedule 2.1 or bank wire confirmation; those records are not in the packet.</t>
        </is>
      </c>
    </row>
    <row r="27">
      <c r="A27" t="inlineStr">
        <is>
          <t>Post-Close Billing Support</t>
        </is>
      </c>
      <c r="B27" t="inlineStr">
        <is>
          <t>Open follow-up - shipment/service evidence not provided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38" customWidth="1" min="4" max="4"/>
    <col width="14" customWidth="1" min="5" max="5"/>
    <col width="10" customWidth="1" min="6" max="6"/>
    <col width="12" customWidth="1" min="7" max="7"/>
    <col width="18" customWidth="1" min="8" max="8"/>
    <col width="18" customWidth="1" min="9" max="9"/>
    <col width="14" customWidth="1" min="10" max="10"/>
    <col width="18" customWidth="1" min="11" max="11"/>
    <col width="18" customWidth="1" min="12" max="12"/>
  </cols>
  <sheetData>
    <row r="1">
      <c r="A1" s="5" t="inlineStr">
        <is>
          <t>transaction_id</t>
        </is>
      </c>
      <c r="B1" s="5" t="inlineStr">
        <is>
          <t>brand</t>
        </is>
      </c>
      <c r="C1" s="5" t="inlineStr">
        <is>
          <t>transaction_date</t>
        </is>
      </c>
      <c r="D1" s="5" t="inlineStr">
        <is>
          <t>description</t>
        </is>
      </c>
      <c r="E1" s="5" t="inlineStr">
        <is>
          <t>amount_native</t>
        </is>
      </c>
      <c r="F1" s="5" t="inlineStr">
        <is>
          <t>currency</t>
        </is>
      </c>
      <c r="G1" s="5" t="inlineStr">
        <is>
          <t>status</t>
        </is>
      </c>
      <c r="H1" s="5" t="inlineStr">
        <is>
          <t>include_status_period</t>
        </is>
      </c>
      <c r="I1" s="5" t="inlineStr">
        <is>
          <t>exclusion_reason</t>
        </is>
      </c>
      <c r="J1" s="5" t="inlineStr">
        <is>
          <t>eligible_native</t>
        </is>
      </c>
      <c r="K1" s="5" t="inlineStr">
        <is>
          <t>kiln_post_close_eligible</t>
        </is>
      </c>
      <c r="L1" s="5" t="inlineStr">
        <is>
          <t>usd_if_status_period_included</t>
        </is>
      </c>
    </row>
    <row r="2">
      <c r="A2" t="inlineStr">
        <is>
          <t>VC-66208</t>
        </is>
      </c>
      <c r="B2" t="inlineStr">
        <is>
          <t>Hearth Kitchen Co</t>
        </is>
      </c>
      <c r="C2" t="inlineStr">
        <is>
          <t>2025-06-28</t>
        </is>
      </c>
      <c r="D2" t="inlineStr">
        <is>
          <t>June sell-in catch-up</t>
        </is>
      </c>
      <c r="E2" s="7" t="n">
        <v>41000</v>
      </c>
      <c r="F2" t="inlineStr">
        <is>
          <t>USD</t>
        </is>
      </c>
      <c r="G2" t="inlineStr">
        <is>
          <t>posted</t>
        </is>
      </c>
      <c r="H2">
        <f>IF(OR(G2="void",G2="cancelled",G2="duplicate",G2="out_of_period"),"no",IF(OR(C2&lt;Assumptions!$B$6,C2&gt;Assumptions!$B$7),"no","yes"))</f>
        <v/>
      </c>
      <c r="I2" t="inlineStr">
        <is>
          <t>prior_period</t>
        </is>
      </c>
      <c r="J2" t="n" s="7">
        <f>IF(H2="yes",E2,0)</f>
        <v>0</v>
      </c>
      <c r="K2" t="n" s="7">
        <f>IF(AND(H2="yes",B2="Kiln Spice Works",C2&gt;=Assumptions!$B$9),E2,0)</f>
        <v>0</v>
      </c>
      <c r="L2" t="n" s="7">
        <f>IF(H2="yes",E2,0)</f>
        <v>0</v>
      </c>
    </row>
    <row r="3">
      <c r="A3" t="inlineStr">
        <is>
          <t>VC-78421</t>
        </is>
      </c>
      <c r="B3" t="inlineStr">
        <is>
          <t>Hearth Kitchen Co</t>
        </is>
      </c>
      <c r="C3" t="inlineStr">
        <is>
          <t>2025-07-03</t>
        </is>
      </c>
      <c r="D3" t="inlineStr">
        <is>
          <t>Retail sell-in - Northeast DSD</t>
        </is>
      </c>
      <c r="E3" s="7" t="n">
        <v>128447.36</v>
      </c>
      <c r="F3" t="inlineStr">
        <is>
          <t>USD</t>
        </is>
      </c>
      <c r="G3" t="inlineStr">
        <is>
          <t>posted</t>
        </is>
      </c>
      <c r="H3">
        <f>IF(OR(G3="void",G3="cancelled",G3="duplicate",G3="out_of_period"),"no",IF(OR(C3&lt;Assumptions!$B$6,C3&gt;Assumptions!$B$7),"no","yes"))</f>
        <v/>
      </c>
      <c r="I3" t="inlineStr"/>
      <c r="J3" t="n" s="7">
        <f>IF(H3="yes",E3,0)</f>
        <v>128447.36</v>
      </c>
      <c r="K3" t="n" s="7">
        <f>IF(AND(H3="yes",B3="Kiln Spice Works",C3&gt;=Assumptions!$B$9),E3,0)</f>
        <v>0</v>
      </c>
      <c r="L3" t="n" s="7">
        <f>IF(H3="yes",E3,0)</f>
        <v>128447.36</v>
      </c>
    </row>
    <row r="4">
      <c r="A4" t="inlineStr">
        <is>
          <t>VC-55102</t>
        </is>
      </c>
      <c r="B4" t="inlineStr">
        <is>
          <t>Brine &amp; Barrel EU</t>
        </is>
      </c>
      <c r="C4" t="inlineStr">
        <is>
          <t>2025-07-08</t>
        </is>
      </c>
      <c r="D4" t="inlineStr">
        <is>
          <t>DE grocery sell-in - Q3 wave 1</t>
        </is>
      </c>
      <c r="E4" s="8" t="n">
        <v>118622.47</v>
      </c>
      <c r="F4" t="inlineStr">
        <is>
          <t>EUR</t>
        </is>
      </c>
      <c r="G4" t="inlineStr">
        <is>
          <t>posted</t>
        </is>
      </c>
      <c r="H4">
        <f>IF(OR(G4="void",G4="cancelled",G4="duplicate",G4="out_of_period"),"no",IF(OR(C4&lt;Assumptions!$B$6,C4&gt;Assumptions!$B$7),"no","yes"))</f>
        <v/>
      </c>
      <c r="I4" t="inlineStr"/>
      <c r="J4" t="n" s="8">
        <f>IF(H4="yes",E4,0)</f>
        <v>118622.47</v>
      </c>
      <c r="K4" t="n">
        <f>IF(AND(H4="yes",B4="Kiln Spice Works",C4&gt;=Assumptions!$B$9),E4,0)</f>
        <v>0</v>
      </c>
      <c r="L4" t="n" s="7">
        <f>IF(H4="yes",ROUND(E4*Assumptions!$B$8,2),0)</f>
        <v>128990.07</v>
      </c>
    </row>
    <row r="5">
      <c r="A5" t="inlineStr">
        <is>
          <t>KS-33408</t>
        </is>
      </c>
      <c r="B5" t="inlineStr">
        <is>
          <t>Kiln Spice Works</t>
        </is>
      </c>
      <c r="C5" t="inlineStr">
        <is>
          <t>2025-07-09</t>
        </is>
      </c>
      <c r="D5" t="inlineStr">
        <is>
          <t>Club channel sell-in - Midwest</t>
        </is>
      </c>
      <c r="E5" s="7" t="n">
        <v>88412.33</v>
      </c>
      <c r="F5" t="inlineStr">
        <is>
          <t>USD</t>
        </is>
      </c>
      <c r="G5" t="inlineStr">
        <is>
          <t>posted</t>
        </is>
      </c>
      <c r="H5">
        <f>IF(OR(G5="void",G5="cancelled",G5="duplicate",G5="out_of_period"),"no",IF(OR(C5&lt;Assumptions!$B$6,C5&gt;Assumptions!$B$7),"no","yes"))</f>
        <v/>
      </c>
      <c r="I5" t="inlineStr"/>
      <c r="J5" t="n" s="7">
        <f>IF(H5="yes",E5,0)</f>
        <v>88412.33</v>
      </c>
      <c r="K5" t="n" s="7">
        <f>IF(AND(H5="yes",B5="Kiln Spice Works",C5&gt;=Assumptions!$B$9),E5,0)</f>
        <v>0</v>
      </c>
      <c r="L5" t="n" s="7">
        <f>IF(H5="yes",E5,0)</f>
        <v>88412.33</v>
      </c>
    </row>
    <row r="6">
      <c r="A6" t="inlineStr">
        <is>
          <t>VC-79104</t>
        </is>
      </c>
      <c r="B6" t="inlineStr">
        <is>
          <t>Hearth Kitchen Co</t>
        </is>
      </c>
      <c r="C6" t="inlineStr">
        <is>
          <t>2025-07-11</t>
        </is>
      </c>
      <c r="D6" t="inlineStr">
        <is>
          <t>Club channel slotting fee recovery</t>
        </is>
      </c>
      <c r="E6" s="7" t="n">
        <v>38412.88</v>
      </c>
      <c r="F6" t="inlineStr">
        <is>
          <t>USD</t>
        </is>
      </c>
      <c r="G6" t="inlineStr">
        <is>
          <t>posted</t>
        </is>
      </c>
      <c r="H6">
        <f>IF(OR(G6="void",G6="cancelled",G6="duplicate",G6="out_of_period"),"no",IF(OR(C6&lt;Assumptions!$B$6,C6&gt;Assumptions!$B$7),"no","yes"))</f>
        <v/>
      </c>
      <c r="I6" t="inlineStr"/>
      <c r="J6" t="n" s="7">
        <f>IF(H6="yes",E6,0)</f>
        <v>38412.88</v>
      </c>
      <c r="K6" t="n" s="7">
        <f>IF(AND(H6="yes",B6="Kiln Spice Works",C6&gt;=Assumptions!$B$9),E6,0)</f>
        <v>0</v>
      </c>
      <c r="L6" t="n" s="7">
        <f>IF(H6="yes",E6,0)</f>
        <v>38412.88</v>
      </c>
    </row>
    <row r="7">
      <c r="A7" t="inlineStr">
        <is>
          <t>VC-55840</t>
        </is>
      </c>
      <c r="B7" t="inlineStr">
        <is>
          <t>Brine &amp; Barrel EU</t>
        </is>
      </c>
      <c r="C7" t="inlineStr">
        <is>
          <t>2025-07-18</t>
        </is>
      </c>
      <c r="D7" t="inlineStr">
        <is>
          <t>NL foodservice distributor draw</t>
        </is>
      </c>
      <c r="E7" s="8" t="n">
        <v>64218.93</v>
      </c>
      <c r="F7" t="inlineStr">
        <is>
          <t>EUR</t>
        </is>
      </c>
      <c r="G7" t="inlineStr">
        <is>
          <t>posted</t>
        </is>
      </c>
      <c r="H7">
        <f>IF(OR(G7="void",G7="cancelled",G7="duplicate",G7="out_of_period"),"no",IF(OR(C7&lt;Assumptions!$B$6,C7&gt;Assumptions!$B$7),"no","yes"))</f>
        <v/>
      </c>
      <c r="I7" t="inlineStr"/>
      <c r="J7" t="n" s="8">
        <f>IF(H7="yes",E7,0)</f>
        <v>64218.93</v>
      </c>
      <c r="K7" t="n">
        <f>IF(AND(H7="yes",B7="Kiln Spice Works",C7&gt;=Assumptions!$B$9),E7,0)</f>
        <v>0</v>
      </c>
      <c r="L7" t="n" s="7">
        <f>IF(H7="yes",ROUND(E7*Assumptions!$B$8,2),0)</f>
        <v>69831.66</v>
      </c>
    </row>
    <row r="8">
      <c r="A8" t="inlineStr">
        <is>
          <t>VC-80233</t>
        </is>
      </c>
      <c r="B8" t="inlineStr">
        <is>
          <t>Hearth Kitchen Co</t>
        </is>
      </c>
      <c r="C8" t="inlineStr">
        <is>
          <t>2025-07-22</t>
        </is>
      </c>
      <c r="D8" t="inlineStr">
        <is>
          <t>Foodservice distributor rebate true-up</t>
        </is>
      </c>
      <c r="E8" s="7" t="n">
        <v>22109.54</v>
      </c>
      <c r="F8" t="inlineStr">
        <is>
          <t>USD</t>
        </is>
      </c>
      <c r="G8" t="inlineStr">
        <is>
          <t>posted</t>
        </is>
      </c>
      <c r="H8">
        <f>IF(OR(G8="void",G8="cancelled",G8="duplicate",G8="out_of_period"),"no",IF(OR(C8&lt;Assumptions!$B$6,C8&gt;Assumptions!$B$7),"no","yes"))</f>
        <v/>
      </c>
      <c r="I8" t="inlineStr"/>
      <c r="J8" t="n" s="7">
        <f>IF(H8="yes",E8,0)</f>
        <v>22109.54</v>
      </c>
      <c r="K8" t="n" s="7">
        <f>IF(AND(H8="yes",B8="Kiln Spice Works",C8&gt;=Assumptions!$B$9),E8,0)</f>
        <v>0</v>
      </c>
      <c r="L8" t="n" s="7">
        <f>IF(H8="yes",E8,0)</f>
        <v>22109.54</v>
      </c>
    </row>
    <row r="9">
      <c r="A9" t="inlineStr">
        <is>
          <t>KS-34155</t>
        </is>
      </c>
      <c r="B9" t="inlineStr">
        <is>
          <t>Kiln Spice Works</t>
        </is>
      </c>
      <c r="C9" t="inlineStr">
        <is>
          <t>2025-07-23</t>
        </is>
      </c>
      <c r="D9" t="inlineStr">
        <is>
          <t>Foodservice distributor draw</t>
        </is>
      </c>
      <c r="E9" s="7" t="n">
        <v>51207.18</v>
      </c>
      <c r="F9" t="inlineStr">
        <is>
          <t>USD</t>
        </is>
      </c>
      <c r="G9" t="inlineStr">
        <is>
          <t>posted</t>
        </is>
      </c>
      <c r="H9">
        <f>IF(OR(G9="void",G9="cancelled",G9="duplicate",G9="out_of_period"),"no",IF(OR(C9&lt;Assumptions!$B$6,C9&gt;Assumptions!$B$7),"no","yes"))</f>
        <v/>
      </c>
      <c r="I9" t="inlineStr"/>
      <c r="J9" t="n" s="7">
        <f>IF(H9="yes",E9,0)</f>
        <v>51207.18</v>
      </c>
      <c r="K9" t="n" s="7">
        <f>IF(AND(H9="yes",B9="Kiln Spice Works",C9&gt;=Assumptions!$B$9),E9,0)</f>
        <v>0</v>
      </c>
      <c r="L9" t="n" s="7">
        <f>IF(H9="yes",E9,0)</f>
        <v>51207.18</v>
      </c>
    </row>
    <row r="10">
      <c r="A10" t="inlineStr">
        <is>
          <t>VC-56411</t>
        </is>
      </c>
      <c r="B10" t="inlineStr">
        <is>
          <t>Brine &amp; Barrel EU</t>
        </is>
      </c>
      <c r="C10" t="inlineStr">
        <is>
          <t>2025-07-29</t>
        </is>
      </c>
      <c r="D10" t="inlineStr">
        <is>
          <t>FR specialty retail booking</t>
        </is>
      </c>
      <c r="E10" s="8" t="n">
        <v>89104.55</v>
      </c>
      <c r="F10" t="inlineStr">
        <is>
          <t>EUR</t>
        </is>
      </c>
      <c r="G10" t="inlineStr">
        <is>
          <t>posted</t>
        </is>
      </c>
      <c r="H10">
        <f>IF(OR(G10="void",G10="cancelled",G10="duplicate",G10="out_of_period"),"no",IF(OR(C10&lt;Assumptions!$B$6,C10&gt;Assumptions!$B$7),"no","yes"))</f>
        <v/>
      </c>
      <c r="I10" t="inlineStr"/>
      <c r="J10" t="n" s="8">
        <f>IF(H10="yes",E10,0)</f>
        <v>89104.55</v>
      </c>
      <c r="K10" t="n">
        <f>IF(AND(H10="yes",B10="Kiln Spice Works",C10&gt;=Assumptions!$B$9),E10,0)</f>
        <v>0</v>
      </c>
      <c r="L10" t="n" s="7">
        <f>IF(H10="yes",ROUND(E10*Assumptions!$B$8,2),0)</f>
        <v>96892.29</v>
      </c>
    </row>
    <row r="11">
      <c r="A11" t="inlineStr">
        <is>
          <t>KS-34802</t>
        </is>
      </c>
      <c r="B11" t="inlineStr">
        <is>
          <t>Kiln Spice Works</t>
        </is>
      </c>
      <c r="C11" t="inlineStr">
        <is>
          <t>2025-08-04</t>
        </is>
      </c>
      <c r="D11" t="inlineStr">
        <is>
          <t>Private label trial shipment</t>
        </is>
      </c>
      <c r="E11" s="7" t="n">
        <v>37664.9</v>
      </c>
      <c r="F11" t="inlineStr">
        <is>
          <t>USD</t>
        </is>
      </c>
      <c r="G11" t="inlineStr">
        <is>
          <t>posted</t>
        </is>
      </c>
      <c r="H11">
        <f>IF(OR(G11="void",G11="cancelled",G11="duplicate",G11="out_of_period"),"no",IF(OR(C11&lt;Assumptions!$B$6,C11&gt;Assumptions!$B$7),"no","yes"))</f>
        <v/>
      </c>
      <c r="I11" t="inlineStr"/>
      <c r="J11" t="n" s="7">
        <f>IF(H11="yes",E11,0)</f>
        <v>37664.9</v>
      </c>
      <c r="K11" t="n" s="7">
        <f>IF(AND(H11="yes",B11="Kiln Spice Works",C11&gt;=Assumptions!$B$9),E11,0)</f>
        <v>0</v>
      </c>
      <c r="L11" t="n" s="7">
        <f>IF(H11="yes",E11,0)</f>
        <v>37664.9</v>
      </c>
    </row>
    <row r="12">
      <c r="A12" t="inlineStr">
        <is>
          <t>VC-81055</t>
        </is>
      </c>
      <c r="B12" t="inlineStr">
        <is>
          <t>Hearth Kitchen Co</t>
        </is>
      </c>
      <c r="C12" t="inlineStr">
        <is>
          <t>2025-08-05</t>
        </is>
      </c>
      <c r="D12" t="inlineStr">
        <is>
          <t>Private label co-pack milestone</t>
        </is>
      </c>
      <c r="E12" s="7" t="n">
        <v>97533.17</v>
      </c>
      <c r="F12" t="inlineStr">
        <is>
          <t>USD</t>
        </is>
      </c>
      <c r="G12" t="inlineStr">
        <is>
          <t>posted</t>
        </is>
      </c>
      <c r="H12">
        <f>IF(OR(G12="void",G12="cancelled",G12="duplicate",G12="out_of_period"),"no",IF(OR(C12&lt;Assumptions!$B$6,C12&gt;Assumptions!$B$7),"no","yes"))</f>
        <v/>
      </c>
      <c r="I12" t="inlineStr"/>
      <c r="J12" t="n" s="7">
        <f>IF(H12="yes",E12,0)</f>
        <v>97533.17</v>
      </c>
      <c r="K12" t="n" s="7">
        <f>IF(AND(H12="yes",B12="Kiln Spice Works",C12&gt;=Assumptions!$B$9),E12,0)</f>
        <v>0</v>
      </c>
      <c r="L12" t="n" s="7">
        <f>IF(H12="yes",E12,0)</f>
        <v>97533.17</v>
      </c>
    </row>
    <row r="13">
      <c r="A13" t="inlineStr">
        <is>
          <t>VC-81091</t>
        </is>
      </c>
      <c r="B13" t="inlineStr">
        <is>
          <t>Hearth Kitchen Co</t>
        </is>
      </c>
      <c r="C13" t="inlineStr">
        <is>
          <t>2025-08-05</t>
        </is>
      </c>
      <c r="D13" t="inlineStr">
        <is>
          <t>Private label co-pack milestone</t>
        </is>
      </c>
      <c r="E13" s="7" t="n">
        <v>97533.17</v>
      </c>
      <c r="F13" t="inlineStr">
        <is>
          <t>USD</t>
        </is>
      </c>
      <c r="G13" t="inlineStr">
        <is>
          <t>duplicate</t>
        </is>
      </c>
      <c r="H13">
        <f>IF(OR(G13="void",G13="cancelled",G13="duplicate",G13="out_of_period"),"no",IF(OR(C13&lt;Assumptions!$B$6,C13&gt;Assumptions!$B$7),"no","yes"))</f>
        <v/>
      </c>
      <c r="I13" t="inlineStr">
        <is>
          <t>status_duplicate</t>
        </is>
      </c>
      <c r="J13" t="n" s="7">
        <f>IF(H13="yes",E13,0)</f>
        <v>0</v>
      </c>
      <c r="K13" t="n" s="7">
        <f>IF(AND(H13="yes",B13="Kiln Spice Works",C13&gt;=Assumptions!$B$9),E13,0)</f>
        <v>0</v>
      </c>
      <c r="L13" t="n" s="7">
        <f>IF(H13="yes",E13,0)</f>
        <v>0</v>
      </c>
    </row>
    <row r="14">
      <c r="A14" t="inlineStr">
        <is>
          <t>VC-57188</t>
        </is>
      </c>
      <c r="B14" t="inlineStr">
        <is>
          <t>Brine &amp; Barrel EU</t>
        </is>
      </c>
      <c r="C14" t="inlineStr">
        <is>
          <t>2025-08-09</t>
        </is>
      </c>
      <c r="D14" t="inlineStr">
        <is>
          <t>BE club trial shipment</t>
        </is>
      </c>
      <c r="E14" s="8" t="n">
        <v>45781.26</v>
      </c>
      <c r="F14" t="inlineStr">
        <is>
          <t>EUR</t>
        </is>
      </c>
      <c r="G14" t="inlineStr">
        <is>
          <t>posted</t>
        </is>
      </c>
      <c r="H14">
        <f>IF(OR(G14="void",G14="cancelled",G14="duplicate",G14="out_of_period"),"no",IF(OR(C14&lt;Assumptions!$B$6,C14&gt;Assumptions!$B$7),"no","yes"))</f>
        <v/>
      </c>
      <c r="I14" t="inlineStr"/>
      <c r="J14" t="n" s="8">
        <f>IF(H14="yes",E14,0)</f>
        <v>45781.26</v>
      </c>
      <c r="K14" t="n">
        <f>IF(AND(H14="yes",B14="Kiln Spice Works",C14&gt;=Assumptions!$B$9),E14,0)</f>
        <v>0</v>
      </c>
      <c r="L14" t="n" s="7">
        <f>IF(H14="yes",ROUND(E14*Assumptions!$B$8,2),0)</f>
        <v>49782.54</v>
      </c>
    </row>
    <row r="15">
      <c r="A15" t="inlineStr">
        <is>
          <t>KS-35220</t>
        </is>
      </c>
      <c r="B15" t="inlineStr">
        <is>
          <t>Kiln Spice Works</t>
        </is>
      </c>
      <c r="C15" t="inlineStr">
        <is>
          <t>2025-08-11</t>
        </is>
      </c>
      <c r="D15" t="inlineStr">
        <is>
          <t>Retail sell-in - early August</t>
        </is>
      </c>
      <c r="E15" s="7" t="n">
        <v>22918.45</v>
      </c>
      <c r="F15" t="inlineStr">
        <is>
          <t>USD</t>
        </is>
      </c>
      <c r="G15" t="inlineStr">
        <is>
          <t>posted</t>
        </is>
      </c>
      <c r="H15">
        <f>IF(OR(G15="void",G15="cancelled",G15="duplicate",G15="out_of_period"),"no",IF(OR(C15&lt;Assumptions!$B$6,C15&gt;Assumptions!$B$7),"no","yes"))</f>
        <v/>
      </c>
      <c r="I15" t="inlineStr"/>
      <c r="J15" t="n" s="7">
        <f>IF(H15="yes",E15,0)</f>
        <v>22918.45</v>
      </c>
      <c r="K15" t="n" s="7">
        <f>IF(AND(H15="yes",B15="Kiln Spice Works",C15&gt;=Assumptions!$B$9),E15,0)</f>
        <v>0</v>
      </c>
      <c r="L15" t="n" s="7">
        <f>IF(H15="yes",E15,0)</f>
        <v>22918.45</v>
      </c>
    </row>
    <row r="16">
      <c r="A16" t="inlineStr">
        <is>
          <t>KS-36001</t>
        </is>
      </c>
      <c r="B16" t="inlineStr">
        <is>
          <t>Kiln Spice Works</t>
        </is>
      </c>
      <c r="C16" t="inlineStr">
        <is>
          <t>2025-08-12</t>
        </is>
      </c>
      <c r="D16" t="inlineStr">
        <is>
          <t>Close-day retail sell-in</t>
        </is>
      </c>
      <c r="E16" s="7" t="n">
        <v>67428.56</v>
      </c>
      <c r="F16" t="inlineStr">
        <is>
          <t>USD</t>
        </is>
      </c>
      <c r="G16" t="inlineStr">
        <is>
          <t>posted</t>
        </is>
      </c>
      <c r="H16">
        <f>IF(OR(G16="void",G16="cancelled",G16="duplicate",G16="out_of_period"),"no",IF(OR(C16&lt;Assumptions!$B$6,C16&gt;Assumptions!$B$7),"no","yes"))</f>
        <v/>
      </c>
      <c r="I16" t="inlineStr"/>
      <c r="J16" t="n" s="7">
        <f>IF(H16="yes",E16,0)</f>
        <v>67428.56</v>
      </c>
      <c r="K16" t="n" s="7">
        <f>IF(AND(H16="yes",B16="Kiln Spice Works",C16&gt;=Assumptions!$B$9),E16,0)</f>
        <v>67428.56</v>
      </c>
      <c r="L16" t="n" s="7">
        <f>IF(H16="yes",E16,0)</f>
        <v>67428.56</v>
      </c>
    </row>
    <row r="17">
      <c r="A17" t="inlineStr">
        <is>
          <t>VC-82107</t>
        </is>
      </c>
      <c r="B17" t="inlineStr">
        <is>
          <t>Hearth Kitchen Co</t>
        </is>
      </c>
      <c r="C17" t="inlineStr">
        <is>
          <t>2025-08-14</t>
        </is>
      </c>
      <c r="D17" t="inlineStr">
        <is>
          <t>E-commerce marketplace settlement</t>
        </is>
      </c>
      <c r="E17" s="7" t="n">
        <v>61208.43</v>
      </c>
      <c r="F17" t="inlineStr">
        <is>
          <t>USD</t>
        </is>
      </c>
      <c r="G17" t="inlineStr">
        <is>
          <t>posted</t>
        </is>
      </c>
      <c r="H17">
        <f>IF(OR(G17="void",G17="cancelled",G17="duplicate",G17="out_of_period"),"no",IF(OR(C17&lt;Assumptions!$B$6,C17&gt;Assumptions!$B$7),"no","yes"))</f>
        <v/>
      </c>
      <c r="I17" t="inlineStr"/>
      <c r="J17" t="n" s="7">
        <f>IF(H17="yes",E17,0)</f>
        <v>61208.43</v>
      </c>
      <c r="K17" t="n" s="7">
        <f>IF(AND(H17="yes",B17="Kiln Spice Works",C17&gt;=Assumptions!$B$9),E17,0)</f>
        <v>0</v>
      </c>
      <c r="L17" t="n" s="7">
        <f>IF(H17="yes",E17,0)</f>
        <v>61208.43</v>
      </c>
    </row>
    <row r="18">
      <c r="A18" t="inlineStr">
        <is>
          <t>KS-36544</t>
        </is>
      </c>
      <c r="B18" t="inlineStr">
        <is>
          <t>Kiln Spice Works</t>
        </is>
      </c>
      <c r="C18" t="inlineStr">
        <is>
          <t>2025-08-19</t>
        </is>
      </c>
      <c r="D18" t="inlineStr">
        <is>
          <t>Club pack first post-close order</t>
        </is>
      </c>
      <c r="E18" s="7" t="n">
        <v>95817.22</v>
      </c>
      <c r="F18" t="inlineStr">
        <is>
          <t>USD</t>
        </is>
      </c>
      <c r="G18" t="inlineStr">
        <is>
          <t>posted</t>
        </is>
      </c>
      <c r="H18">
        <f>IF(OR(G18="void",G18="cancelled",G18="duplicate",G18="out_of_period"),"no",IF(OR(C18&lt;Assumptions!$B$6,C18&gt;Assumptions!$B$7),"no","yes"))</f>
        <v/>
      </c>
      <c r="I18" t="inlineStr"/>
      <c r="J18" t="n" s="7">
        <f>IF(H18="yes",E18,0)</f>
        <v>95817.22</v>
      </c>
      <c r="K18" t="n" s="7">
        <f>IF(AND(H18="yes",B18="Kiln Spice Works",C18&gt;=Assumptions!$B$9),E18,0)</f>
        <v>95817.22</v>
      </c>
      <c r="L18" t="n" s="7">
        <f>IF(H18="yes",E18,0)</f>
        <v>95817.22</v>
      </c>
    </row>
    <row r="19">
      <c r="A19" t="inlineStr">
        <is>
          <t>VC-58204</t>
        </is>
      </c>
      <c r="B19" t="inlineStr">
        <is>
          <t>Brine &amp; Barrel EU</t>
        </is>
      </c>
      <c r="C19" t="inlineStr">
        <is>
          <t>2025-08-21</t>
        </is>
      </c>
      <c r="D19" t="inlineStr">
        <is>
          <t>EU trade promo clawback</t>
        </is>
      </c>
      <c r="E19" s="8" t="n">
        <v>-6233.48</v>
      </c>
      <c r="F19" t="inlineStr">
        <is>
          <t>EUR</t>
        </is>
      </c>
      <c r="G19" t="inlineStr">
        <is>
          <t>void</t>
        </is>
      </c>
      <c r="H19">
        <f>IF(OR(G19="void",G19="cancelled",G19="duplicate",G19="out_of_period"),"no",IF(OR(C19&lt;Assumptions!$B$6,C19&gt;Assumptions!$B$7),"no","yes"))</f>
        <v/>
      </c>
      <c r="I19" t="inlineStr">
        <is>
          <t>status_void</t>
        </is>
      </c>
      <c r="J19" t="n" s="8">
        <f>IF(H19="yes",E19,0)</f>
        <v>0</v>
      </c>
      <c r="K19" t="n">
        <f>IF(AND(H19="yes",B19="Kiln Spice Works",C19&gt;=Assumptions!$B$9),E19,0)</f>
        <v>0</v>
      </c>
      <c r="L19" t="n" s="7">
        <f>IF(H19="yes",ROUND(E19*Assumptions!$B$8,2),0)</f>
        <v>0</v>
      </c>
    </row>
    <row r="20">
      <c r="A20" t="inlineStr">
        <is>
          <t>VC-82591</t>
        </is>
      </c>
      <c r="B20" t="inlineStr">
        <is>
          <t>Hearth Kitchen Co</t>
        </is>
      </c>
      <c r="C20" t="inlineStr">
        <is>
          <t>2025-08-27</t>
        </is>
      </c>
      <c r="D20" t="inlineStr">
        <is>
          <t>Seasonal SKU promo accrual reverse</t>
        </is>
      </c>
      <c r="E20" s="7" t="n">
        <v>-8416.22</v>
      </c>
      <c r="F20" t="inlineStr">
        <is>
          <t>USD</t>
        </is>
      </c>
      <c r="G20" t="inlineStr">
        <is>
          <t>void</t>
        </is>
      </c>
      <c r="H20">
        <f>IF(OR(G20="void",G20="cancelled",G20="duplicate",G20="out_of_period"),"no",IF(OR(C20&lt;Assumptions!$B$6,C20&gt;Assumptions!$B$7),"no","yes"))</f>
        <v/>
      </c>
      <c r="I20" t="inlineStr">
        <is>
          <t>status_void</t>
        </is>
      </c>
      <c r="J20" t="n" s="7">
        <f>IF(H20="yes",E20,0)</f>
        <v>0</v>
      </c>
      <c r="K20" t="n" s="7">
        <f>IF(AND(H20="yes",B20="Kiln Spice Works",C20&gt;=Assumptions!$B$9),E20,0)</f>
        <v>0</v>
      </c>
      <c r="L20" t="n" s="7">
        <f>IF(H20="yes",E20,0)</f>
        <v>0</v>
      </c>
    </row>
    <row r="21">
      <c r="A21" t="inlineStr">
        <is>
          <t>KS-37102</t>
        </is>
      </c>
      <c r="B21" t="inlineStr">
        <is>
          <t>Kiln Spice Works</t>
        </is>
      </c>
      <c r="C21" t="inlineStr">
        <is>
          <t>2025-08-28</t>
        </is>
      </c>
      <c r="D21" t="inlineStr">
        <is>
          <t>Spice blend co-pack milestone</t>
        </is>
      </c>
      <c r="E21" s="7" t="n">
        <v>81244.67</v>
      </c>
      <c r="F21" t="inlineStr">
        <is>
          <t>USD</t>
        </is>
      </c>
      <c r="G21" t="inlineStr">
        <is>
          <t>posted</t>
        </is>
      </c>
      <c r="H21">
        <f>IF(OR(G21="void",G21="cancelled",G21="duplicate",G21="out_of_period"),"no",IF(OR(C21&lt;Assumptions!$B$6,C21&gt;Assumptions!$B$7),"no","yes"))</f>
        <v/>
      </c>
      <c r="I21" t="inlineStr"/>
      <c r="J21" t="n" s="7">
        <f>IF(H21="yes",E21,0)</f>
        <v>81244.67</v>
      </c>
      <c r="K21" t="n" s="7">
        <f>IF(AND(H21="yes",B21="Kiln Spice Works",C21&gt;=Assumptions!$B$9),E21,0)</f>
        <v>81244.67</v>
      </c>
      <c r="L21" t="n" s="7">
        <f>IF(H21="yes",E21,0)</f>
        <v>81244.67</v>
      </c>
    </row>
    <row r="22">
      <c r="A22" t="inlineStr">
        <is>
          <t>VC-59033</t>
        </is>
      </c>
      <c r="B22" t="inlineStr">
        <is>
          <t>Brine &amp; Barrel EU</t>
        </is>
      </c>
      <c r="C22" t="inlineStr">
        <is>
          <t>2025-09-02</t>
        </is>
      </c>
      <c r="D22" t="inlineStr">
        <is>
          <t>DE reorder - autumn assortment</t>
        </is>
      </c>
      <c r="E22" s="8" t="n">
        <v>102447.18</v>
      </c>
      <c r="F22" t="inlineStr">
        <is>
          <t>EUR</t>
        </is>
      </c>
      <c r="G22" t="inlineStr">
        <is>
          <t>posted</t>
        </is>
      </c>
      <c r="H22">
        <f>IF(OR(G22="void",G22="cancelled",G22="duplicate",G22="out_of_period"),"no",IF(OR(C22&lt;Assumptions!$B$6,C22&gt;Assumptions!$B$7),"no","yes"))</f>
        <v/>
      </c>
      <c r="I22" t="inlineStr"/>
      <c r="J22" t="n" s="8">
        <f>IF(H22="yes",E22,0)</f>
        <v>102447.18</v>
      </c>
      <c r="K22" t="n">
        <f>IF(AND(H22="yes",B22="Kiln Spice Works",C22&gt;=Assumptions!$B$9),E22,0)</f>
        <v>0</v>
      </c>
      <c r="L22" t="n" s="7">
        <f>IF(H22="yes",ROUND(E22*Assumptions!$B$8,2),0)</f>
        <v>111401.06</v>
      </c>
    </row>
    <row r="23">
      <c r="A23" t="inlineStr">
        <is>
          <t>VC-83340</t>
        </is>
      </c>
      <c r="B23" t="inlineStr">
        <is>
          <t>Hearth Kitchen Co</t>
        </is>
      </c>
      <c r="C23" t="inlineStr">
        <is>
          <t>2025-09-04</t>
        </is>
      </c>
      <c r="D23" t="inlineStr">
        <is>
          <t>Grocery chain scan-down billback</t>
        </is>
      </c>
      <c r="E23" s="7" t="n">
        <v>44917.65</v>
      </c>
      <c r="F23" t="inlineStr">
        <is>
          <t>USD</t>
        </is>
      </c>
      <c r="G23" t="inlineStr">
        <is>
          <t>posted</t>
        </is>
      </c>
      <c r="H23">
        <f>IF(OR(G23="void",G23="cancelled",G23="duplicate",G23="out_of_period"),"no",IF(OR(C23&lt;Assumptions!$B$6,C23&gt;Assumptions!$B$7),"no","yes"))</f>
        <v/>
      </c>
      <c r="I23" t="inlineStr"/>
      <c r="J23" t="n" s="7">
        <f>IF(H23="yes",E23,0)</f>
        <v>44917.65</v>
      </c>
      <c r="K23" t="n" s="7">
        <f>IF(AND(H23="yes",B23="Kiln Spice Works",C23&gt;=Assumptions!$B$9),E23,0)</f>
        <v>0</v>
      </c>
      <c r="L23" t="n" s="7">
        <f>IF(H23="yes",E23,0)</f>
        <v>44917.65</v>
      </c>
    </row>
    <row r="24">
      <c r="A24" t="inlineStr">
        <is>
          <t>KS-37888</t>
        </is>
      </c>
      <c r="B24" t="inlineStr">
        <is>
          <t>Kiln Spice Works</t>
        </is>
      </c>
      <c r="C24" t="inlineStr">
        <is>
          <t>2025-09-05</t>
        </is>
      </c>
      <c r="D24" t="inlineStr">
        <is>
          <t>Grocery scan-down recovery</t>
        </is>
      </c>
      <c r="E24" s="7" t="n">
        <v>44109.38</v>
      </c>
      <c r="F24" t="inlineStr">
        <is>
          <t>USD</t>
        </is>
      </c>
      <c r="G24" t="inlineStr">
        <is>
          <t>posted</t>
        </is>
      </c>
      <c r="H24">
        <f>IF(OR(G24="void",G24="cancelled",G24="duplicate",G24="out_of_period"),"no",IF(OR(C24&lt;Assumptions!$B$6,C24&gt;Assumptions!$B$7),"no","yes"))</f>
        <v/>
      </c>
      <c r="I24" t="inlineStr"/>
      <c r="J24" t="n" s="7">
        <f>IF(H24="yes",E24,0)</f>
        <v>44109.38</v>
      </c>
      <c r="K24" t="n" s="7">
        <f>IF(AND(H24="yes",B24="Kiln Spice Works",C24&gt;=Assumptions!$B$9),E24,0)</f>
        <v>44109.38</v>
      </c>
      <c r="L24" t="n" s="7">
        <f>IF(H24="yes",E24,0)</f>
        <v>44109.38</v>
      </c>
    </row>
    <row r="25">
      <c r="A25" t="inlineStr">
        <is>
          <t>VC-59710</t>
        </is>
      </c>
      <c r="B25" t="inlineStr">
        <is>
          <t>Brine &amp; Barrel EU</t>
        </is>
      </c>
      <c r="C25" t="inlineStr">
        <is>
          <t>2025-09-11</t>
        </is>
      </c>
      <c r="D25" t="inlineStr">
        <is>
          <t>UK broker settlement (EUR billed)</t>
        </is>
      </c>
      <c r="E25" s="8" t="n">
        <v>73819.64</v>
      </c>
      <c r="F25" t="inlineStr">
        <is>
          <t>EUR</t>
        </is>
      </c>
      <c r="G25" t="inlineStr">
        <is>
          <t>posted</t>
        </is>
      </c>
      <c r="H25">
        <f>IF(OR(G25="void",G25="cancelled",G25="duplicate",G25="out_of_period"),"no",IF(OR(C25&lt;Assumptions!$B$6,C25&gt;Assumptions!$B$7),"no","yes"))</f>
        <v/>
      </c>
      <c r="I25" t="inlineStr"/>
      <c r="J25" t="n" s="8">
        <f>IF(H25="yes",E25,0)</f>
        <v>73819.64</v>
      </c>
      <c r="K25" t="n">
        <f>IF(AND(H25="yes",B25="Kiln Spice Works",C25&gt;=Assumptions!$B$9),E25,0)</f>
        <v>0</v>
      </c>
      <c r="L25" t="n" s="7">
        <f>IF(H25="yes",ROUND(E25*Assumptions!$B$8,2),0)</f>
        <v>80271.48</v>
      </c>
    </row>
    <row r="26">
      <c r="A26" t="inlineStr">
        <is>
          <t>VC-84012</t>
        </is>
      </c>
      <c r="B26" t="inlineStr">
        <is>
          <t>Hearth Kitchen Co</t>
        </is>
      </c>
      <c r="C26" t="inlineStr">
        <is>
          <t>2025-09-12</t>
        </is>
      </c>
      <c r="D26" t="inlineStr">
        <is>
          <t>Club pack extension order</t>
        </is>
      </c>
      <c r="E26" s="7" t="n">
        <v>88344.91</v>
      </c>
      <c r="F26" t="inlineStr">
        <is>
          <t>USD</t>
        </is>
      </c>
      <c r="G26" t="inlineStr">
        <is>
          <t>posted</t>
        </is>
      </c>
      <c r="H26">
        <f>IF(OR(G26="void",G26="cancelled",G26="duplicate",G26="out_of_period"),"no",IF(OR(C26&lt;Assumptions!$B$6,C26&gt;Assumptions!$B$7),"no","yes"))</f>
        <v/>
      </c>
      <c r="I26" t="inlineStr"/>
      <c r="J26" t="n" s="7">
        <f>IF(H26="yes",E26,0)</f>
        <v>88344.91</v>
      </c>
      <c r="K26" t="n" s="7">
        <f>IF(AND(H26="yes",B26="Kiln Spice Works",C26&gt;=Assumptions!$B$9),E26,0)</f>
        <v>0</v>
      </c>
      <c r="L26" t="n" s="7">
        <f>IF(H26="yes",E26,0)</f>
        <v>88344.91</v>
      </c>
    </row>
    <row r="27">
      <c r="A27" t="inlineStr">
        <is>
          <t>KS-38401</t>
        </is>
      </c>
      <c r="B27" t="inlineStr">
        <is>
          <t>Kiln Spice Works</t>
        </is>
      </c>
      <c r="C27" t="inlineStr">
        <is>
          <t>2025-09-15</t>
        </is>
      </c>
      <c r="D27" t="inlineStr">
        <is>
          <t>Voided duplicate broker fee</t>
        </is>
      </c>
      <c r="E27" s="7" t="n">
        <v>-3900</v>
      </c>
      <c r="F27" t="inlineStr">
        <is>
          <t>USD</t>
        </is>
      </c>
      <c r="G27" t="inlineStr">
        <is>
          <t>void</t>
        </is>
      </c>
      <c r="H27">
        <f>IF(OR(G27="void",G27="cancelled",G27="duplicate",G27="out_of_period"),"no",IF(OR(C27&lt;Assumptions!$B$6,C27&gt;Assumptions!$B$7),"no","yes"))</f>
        <v/>
      </c>
      <c r="I27" t="inlineStr">
        <is>
          <t>status_void</t>
        </is>
      </c>
      <c r="J27" t="n" s="7">
        <f>IF(H27="yes",E27,0)</f>
        <v>0</v>
      </c>
      <c r="K27" t="n" s="7">
        <f>IF(AND(H27="yes",B27="Kiln Spice Works",C27&gt;=Assumptions!$B$9),E27,0)</f>
        <v>0</v>
      </c>
      <c r="L27" t="n" s="7">
        <f>IF(H27="yes",E27,0)</f>
        <v>0</v>
      </c>
    </row>
    <row r="28">
      <c r="A28" t="inlineStr">
        <is>
          <t>VC-60144</t>
        </is>
      </c>
      <c r="B28" t="inlineStr">
        <is>
          <t>Brine &amp; Barrel EU</t>
        </is>
      </c>
      <c r="C28" t="inlineStr">
        <is>
          <t>2025-09-18</t>
        </is>
      </c>
      <c r="D28" t="inlineStr">
        <is>
          <t>Cancelled sample program invoice</t>
        </is>
      </c>
      <c r="E28" s="8" t="n">
        <v>12800</v>
      </c>
      <c r="F28" t="inlineStr">
        <is>
          <t>EUR</t>
        </is>
      </c>
      <c r="G28" t="inlineStr">
        <is>
          <t>cancelled</t>
        </is>
      </c>
      <c r="H28">
        <f>IF(OR(G28="void",G28="cancelled",G28="duplicate",G28="out_of_period"),"no",IF(OR(C28&lt;Assumptions!$B$6,C28&gt;Assumptions!$B$7),"no","yes"))</f>
        <v/>
      </c>
      <c r="I28" t="inlineStr">
        <is>
          <t>status_cancelled</t>
        </is>
      </c>
      <c r="J28" t="n" s="8">
        <f>IF(H28="yes",E28,0)</f>
        <v>0</v>
      </c>
      <c r="K28" t="n">
        <f>IF(AND(H28="yes",B28="Kiln Spice Works",C28&gt;=Assumptions!$B$9),E28,0)</f>
        <v>0</v>
      </c>
      <c r="L28" t="n" s="7">
        <f>IF(H28="yes",ROUND(E28*Assumptions!$B$8,2),0)</f>
        <v>0</v>
      </c>
    </row>
    <row r="29">
      <c r="A29" t="inlineStr">
        <is>
          <t>VC-84108</t>
        </is>
      </c>
      <c r="B29" t="inlineStr">
        <is>
          <t>Hearth Kitchen Co</t>
        </is>
      </c>
      <c r="C29" t="inlineStr">
        <is>
          <t>2025-09-19</t>
        </is>
      </c>
      <c r="D29" t="inlineStr">
        <is>
          <t>Quarter close stub - zeroed</t>
        </is>
      </c>
      <c r="E29" s="7" t="n">
        <v>0</v>
      </c>
      <c r="F29" t="inlineStr">
        <is>
          <t>USD</t>
        </is>
      </c>
      <c r="G29" t="inlineStr">
        <is>
          <t>cancelled</t>
        </is>
      </c>
      <c r="H29">
        <f>IF(OR(G29="void",G29="cancelled",G29="duplicate",G29="out_of_period"),"no",IF(OR(C29&lt;Assumptions!$B$6,C29&gt;Assumptions!$B$7),"no","yes"))</f>
        <v/>
      </c>
      <c r="I29" t="inlineStr">
        <is>
          <t>status_cancelled</t>
        </is>
      </c>
      <c r="J29" t="n" s="7">
        <f>IF(H29="yes",E29,0)</f>
        <v>0</v>
      </c>
      <c r="K29" t="n" s="7">
        <f>IF(AND(H29="yes",B29="Kiln Spice Works",C29&gt;=Assumptions!$B$9),E29,0)</f>
        <v>0</v>
      </c>
      <c r="L29" t="n" s="7">
        <f>IF(H29="yes",E29,0)</f>
        <v>0</v>
      </c>
    </row>
    <row r="30">
      <c r="A30" t="inlineStr">
        <is>
          <t>KS-39055</t>
        </is>
      </c>
      <c r="B30" t="inlineStr">
        <is>
          <t>Kiln Spice Works</t>
        </is>
      </c>
      <c r="C30" t="inlineStr">
        <is>
          <t>2025-09-22</t>
        </is>
      </c>
      <c r="D30" t="inlineStr">
        <is>
          <t>Foodservice September draw</t>
        </is>
      </c>
      <c r="E30" s="7" t="n">
        <v>70355.14</v>
      </c>
      <c r="F30" t="inlineStr">
        <is>
          <t>USD</t>
        </is>
      </c>
      <c r="G30" t="inlineStr">
        <is>
          <t>posted</t>
        </is>
      </c>
      <c r="H30">
        <f>IF(OR(G30="void",G30="cancelled",G30="duplicate",G30="out_of_period"),"no",IF(OR(C30&lt;Assumptions!$B$6,C30&gt;Assumptions!$B$7),"no","yes"))</f>
        <v/>
      </c>
      <c r="I30" t="inlineStr"/>
      <c r="J30" t="n" s="7">
        <f>IF(H30="yes",E30,0)</f>
        <v>70355.14</v>
      </c>
      <c r="K30" t="n" s="7">
        <f>IF(AND(H30="yes",B30="Kiln Spice Works",C30&gt;=Assumptions!$B$9),E30,0)</f>
        <v>70355.14</v>
      </c>
      <c r="L30" t="n" s="7">
        <f>IF(H30="yes",E30,0)</f>
        <v>70355.14</v>
      </c>
    </row>
    <row r="31">
      <c r="A31" t="inlineStr">
        <is>
          <t>VC-60882</t>
        </is>
      </c>
      <c r="B31" t="inlineStr">
        <is>
          <t>Brine &amp; Barrel EU</t>
        </is>
      </c>
      <c r="C31" t="inlineStr">
        <is>
          <t>2025-09-24</t>
        </is>
      </c>
      <c r="D31" t="inlineStr">
        <is>
          <t>Nordics distributor true-up</t>
        </is>
      </c>
      <c r="E31" s="8" t="n">
        <v>56933.71</v>
      </c>
      <c r="F31" t="inlineStr">
        <is>
          <t>EUR</t>
        </is>
      </c>
      <c r="G31" t="inlineStr">
        <is>
          <t>posted</t>
        </is>
      </c>
      <c r="H31">
        <f>IF(OR(G31="void",G31="cancelled",G31="duplicate",G31="out_of_period"),"no",IF(OR(C31&lt;Assumptions!$B$6,C31&gt;Assumptions!$B$7),"no","yes"))</f>
        <v/>
      </c>
      <c r="I31" t="inlineStr"/>
      <c r="J31" t="n" s="8">
        <f>IF(H31="yes",E31,0)</f>
        <v>56933.71</v>
      </c>
      <c r="K31" t="n">
        <f>IF(AND(H31="yes",B31="Kiln Spice Works",C31&gt;=Assumptions!$B$9),E31,0)</f>
        <v>0</v>
      </c>
      <c r="L31" t="n" s="7">
        <f>IF(H31="yes",ROUND(E31*Assumptions!$B$8,2),0)</f>
        <v>61909.72</v>
      </c>
    </row>
    <row r="32">
      <c r="A32" t="inlineStr">
        <is>
          <t>VC-84776</t>
        </is>
      </c>
      <c r="B32" t="inlineStr">
        <is>
          <t>Hearth Kitchen Co</t>
        </is>
      </c>
      <c r="C32" t="inlineStr">
        <is>
          <t>2025-09-26</t>
        </is>
      </c>
      <c r="D32" t="inlineStr">
        <is>
          <t>Export broker commission offset</t>
        </is>
      </c>
      <c r="E32" s="7" t="n">
        <v>31782.09</v>
      </c>
      <c r="F32" t="inlineStr">
        <is>
          <t>USD</t>
        </is>
      </c>
      <c r="G32" t="inlineStr">
        <is>
          <t>posted</t>
        </is>
      </c>
      <c r="H32">
        <f>IF(OR(G32="void",G32="cancelled",G32="duplicate",G32="out_of_period"),"no",IF(OR(C32&lt;Assumptions!$B$6,C32&gt;Assumptions!$B$7),"no","yes"))</f>
        <v/>
      </c>
      <c r="I32" t="inlineStr"/>
      <c r="J32" t="n" s="7">
        <f>IF(H32="yes",E32,0)</f>
        <v>31782.09</v>
      </c>
      <c r="K32" t="n" s="7">
        <f>IF(AND(H32="yes",B32="Kiln Spice Works",C32&gt;=Assumptions!$B$9),E32,0)</f>
        <v>0</v>
      </c>
      <c r="L32" t="n" s="7">
        <f>IF(H32="yes",E32,0)</f>
        <v>31782.09</v>
      </c>
    </row>
    <row r="33">
      <c r="A33" t="inlineStr">
        <is>
          <t>KS-39510</t>
        </is>
      </c>
      <c r="B33" t="inlineStr">
        <is>
          <t>Kiln Spice Works</t>
        </is>
      </c>
      <c r="C33" t="inlineStr">
        <is>
          <t>2025-09-27</t>
        </is>
      </c>
      <c r="D33" t="inlineStr">
        <is>
          <t>E-comm marketplace settlement</t>
        </is>
      </c>
      <c r="E33" s="7" t="n">
        <v>38912.8</v>
      </c>
      <c r="F33" t="inlineStr">
        <is>
          <t>USD</t>
        </is>
      </c>
      <c r="G33" t="inlineStr">
        <is>
          <t>posted</t>
        </is>
      </c>
      <c r="H33">
        <f>IF(OR(G33="void",G33="cancelled",G33="duplicate",G33="out_of_period"),"no",IF(OR(C33&lt;Assumptions!$B$6,C33&gt;Assumptions!$B$7),"no","yes"))</f>
        <v/>
      </c>
      <c r="I33" t="inlineStr"/>
      <c r="J33" t="n" s="7">
        <f>IF(H33="yes",E33,0)</f>
        <v>38912.8</v>
      </c>
      <c r="K33" t="n" s="7">
        <f>IF(AND(H33="yes",B33="Kiln Spice Works",C33&gt;=Assumptions!$B$9),E33,0)</f>
        <v>38912.8</v>
      </c>
      <c r="L33" t="n" s="7">
        <f>IF(H33="yes",E33,0)</f>
        <v>38912.8</v>
      </c>
    </row>
    <row r="34">
      <c r="A34" t="inlineStr">
        <is>
          <t>VC-61205</t>
        </is>
      </c>
      <c r="B34" t="inlineStr">
        <is>
          <t>Brine &amp; Barrel EU</t>
        </is>
      </c>
      <c r="C34" t="inlineStr">
        <is>
          <t>2025-09-28</t>
        </is>
      </c>
      <c r="D34" t="inlineStr">
        <is>
          <t>Close-week EU DSD residual</t>
        </is>
      </c>
      <c r="E34" s="8" t="n">
        <v>41408.82</v>
      </c>
      <c r="F34" t="inlineStr">
        <is>
          <t>EUR</t>
        </is>
      </c>
      <c r="G34" t="inlineStr">
        <is>
          <t>posted</t>
        </is>
      </c>
      <c r="H34">
        <f>IF(OR(G34="void",G34="cancelled",G34="duplicate",G34="out_of_period"),"no",IF(OR(C34&lt;Assumptions!$B$6,C34&gt;Assumptions!$B$7),"no","yes"))</f>
        <v/>
      </c>
      <c r="I34" t="inlineStr"/>
      <c r="J34" t="n" s="8">
        <f>IF(H34="yes",E34,0)</f>
        <v>41408.82</v>
      </c>
      <c r="K34" t="n">
        <f>IF(AND(H34="yes",B34="Kiln Spice Works",C34&gt;=Assumptions!$B$9),E34,0)</f>
        <v>0</v>
      </c>
      <c r="L34" t="n" s="7">
        <f>IF(H34="yes",ROUND(E34*Assumptions!$B$8,2),0)</f>
        <v>45027.95</v>
      </c>
    </row>
    <row r="35">
      <c r="A35" t="inlineStr">
        <is>
          <t>KS-39788</t>
        </is>
      </c>
      <c r="B35" t="inlineStr">
        <is>
          <t>Kiln Spice Works</t>
        </is>
      </c>
      <c r="C35" t="inlineStr">
        <is>
          <t>2025-09-29</t>
        </is>
      </c>
      <c r="D35" t="inlineStr">
        <is>
          <t>Cancelled inventory transfer bill</t>
        </is>
      </c>
      <c r="E35" s="7" t="n">
        <v>15000</v>
      </c>
      <c r="F35" t="inlineStr">
        <is>
          <t>USD</t>
        </is>
      </c>
      <c r="G35" t="inlineStr">
        <is>
          <t>cancelled</t>
        </is>
      </c>
      <c r="H35">
        <f>IF(OR(G35="void",G35="cancelled",G35="duplicate",G35="out_of_period"),"no",IF(OR(C35&lt;Assumptions!$B$6,C35&gt;Assumptions!$B$7),"no","yes"))</f>
        <v/>
      </c>
      <c r="I35" t="inlineStr">
        <is>
          <t>status_cancelled</t>
        </is>
      </c>
      <c r="J35" t="n" s="7">
        <f>IF(H35="yes",E35,0)</f>
        <v>0</v>
      </c>
      <c r="K35" t="n" s="7">
        <f>IF(AND(H35="yes",B35="Kiln Spice Works",C35&gt;=Assumptions!$B$9),E35,0)</f>
        <v>0</v>
      </c>
      <c r="L35" t="n" s="7">
        <f>IF(H35="yes",E35,0)</f>
        <v>0</v>
      </c>
    </row>
    <row r="36">
      <c r="A36" t="inlineStr">
        <is>
          <t>VC-84991</t>
        </is>
      </c>
      <c r="B36" t="inlineStr">
        <is>
          <t>Hearth Kitchen Co</t>
        </is>
      </c>
      <c r="C36" t="inlineStr">
        <is>
          <t>2025-09-29</t>
        </is>
      </c>
      <c r="D36" t="inlineStr">
        <is>
          <t>Late September DSD catch-up</t>
        </is>
      </c>
      <c r="E36" s="7" t="n">
        <v>52961.78</v>
      </c>
      <c r="F36" t="inlineStr">
        <is>
          <t>USD</t>
        </is>
      </c>
      <c r="G36" t="inlineStr">
        <is>
          <t>posted</t>
        </is>
      </c>
      <c r="H36">
        <f>IF(OR(G36="void",G36="cancelled",G36="duplicate",G36="out_of_period"),"no",IF(OR(C36&lt;Assumptions!$B$6,C36&gt;Assumptions!$B$7),"no","yes"))</f>
        <v/>
      </c>
      <c r="I36" t="inlineStr"/>
      <c r="J36" t="n" s="7">
        <f>IF(H36="yes",E36,0)</f>
        <v>52961.78</v>
      </c>
      <c r="K36" t="n" s="7">
        <f>IF(AND(H36="yes",B36="Kiln Spice Works",C36&gt;=Assumptions!$B$9),E36,0)</f>
        <v>0</v>
      </c>
      <c r="L36" t="n" s="7">
        <f>IF(H36="yes",E36,0)</f>
        <v>52961.78</v>
      </c>
    </row>
    <row r="37">
      <c r="A37" t="inlineStr">
        <is>
          <t>KS-39902</t>
        </is>
      </c>
      <c r="B37" t="inlineStr">
        <is>
          <t>Kiln Spice Works</t>
        </is>
      </c>
      <c r="C37" t="inlineStr">
        <is>
          <t>2025-09-30</t>
        </is>
      </c>
      <c r="D37" t="inlineStr">
        <is>
          <t>Quarter-end residual sell-in</t>
        </is>
      </c>
      <c r="E37" s="7" t="n">
        <v>26741.93</v>
      </c>
      <c r="F37" t="inlineStr">
        <is>
          <t>USD</t>
        </is>
      </c>
      <c r="G37" t="inlineStr">
        <is>
          <t>posted</t>
        </is>
      </c>
      <c r="H37">
        <f>IF(OR(G37="void",G37="cancelled",G37="duplicate",G37="out_of_period"),"no",IF(OR(C37&lt;Assumptions!$B$6,C37&gt;Assumptions!$B$7),"no","yes"))</f>
        <v/>
      </c>
      <c r="I37" t="inlineStr"/>
      <c r="J37" t="n" s="7">
        <f>IF(H37="yes",E37,0)</f>
        <v>26741.93</v>
      </c>
      <c r="K37" t="n" s="7">
        <f>IF(AND(H37="yes",B37="Kiln Spice Works",C37&gt;=Assumptions!$B$9),E37,0)</f>
        <v>26741.93</v>
      </c>
      <c r="L37" t="n" s="7">
        <f>IF(H37="yes",E37,0)</f>
        <v>26741.93</v>
      </c>
    </row>
    <row r="38">
      <c r="A38" t="inlineStr">
        <is>
          <t>VC-62091</t>
        </is>
      </c>
      <c r="B38" t="inlineStr">
        <is>
          <t>Brine &amp; Barrel EU</t>
        </is>
      </c>
      <c r="C38" t="inlineStr">
        <is>
          <t>2025-10-03</t>
        </is>
      </c>
      <c r="D38" t="inlineStr">
        <is>
          <t>October prebill - EU clubs</t>
        </is>
      </c>
      <c r="E38" s="8" t="n">
        <v>22000</v>
      </c>
      <c r="F38" t="inlineStr">
        <is>
          <t>EUR</t>
        </is>
      </c>
      <c r="G38" t="inlineStr">
        <is>
          <t>out_of_period</t>
        </is>
      </c>
      <c r="H38">
        <f>IF(OR(G38="void",G38="cancelled",G38="duplicate",G38="out_of_period"),"no",IF(OR(C38&lt;Assumptions!$B$6,C38&gt;Assumptions!$B$7),"no","yes"))</f>
        <v/>
      </c>
      <c r="I38" t="inlineStr">
        <is>
          <t>status_out_of_period</t>
        </is>
      </c>
      <c r="J38" t="n" s="8">
        <f>IF(H38="yes",E38,0)</f>
        <v>0</v>
      </c>
      <c r="K38" t="n">
        <f>IF(AND(H38="yes",B38="Kiln Spice Works",C38&gt;=Assumptions!$B$9),E38,0)</f>
        <v>0</v>
      </c>
      <c r="L38" t="n" s="7">
        <f>IF(H38="yes",ROUND(E38*Assumptions!$B$8,2),0)</f>
        <v>0</v>
      </c>
    </row>
  </sheetData>
  <autoFilter ref="A1:L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pane ySplit="5" topLeftCell="A6" activePane="bottomLeft" state="frozen"/>
      <selection pane="bottomLeft" activeCell="A1" sqref="A1"/>
    </sheetView>
  </sheetViews>
  <sheetFormatPr baseColWidth="8" defaultRowHeight="15"/>
  <cols>
    <col width="42" customWidth="1" min="1" max="1"/>
    <col width="36" customWidth="1" min="2" max="2"/>
    <col width="14" customWidth="1" min="3" max="3"/>
    <col width="18" customWidth="1" min="4" max="4"/>
    <col width="36" customWidth="1" min="5" max="5"/>
  </cols>
  <sheetData>
    <row r="1">
      <c r="A1" s="1" t="inlineStr">
        <is>
          <t>Vesper Culinary Brands — Consolidated Net Revenue Review</t>
        </is>
      </c>
      <c r="B1" s="2" t="n"/>
      <c r="C1" s="2" t="n"/>
      <c r="D1" s="2" t="n"/>
      <c r="E1" s="2" t="n"/>
    </row>
    <row r="2">
      <c r="A2" s="3" t="inlineStr">
        <is>
          <t>Q3 2025 (July 1, 2025 – September 30, 2025)</t>
        </is>
      </c>
      <c r="B2" s="2" t="n"/>
      <c r="C2" s="2" t="n"/>
      <c r="D2" s="2" t="n"/>
      <c r="E2" s="2" t="n"/>
    </row>
    <row r="3">
      <c r="A3" s="4" t="inlineStr">
        <is>
          <t>Sheet: Brand_Rollup | Analysis as of Q3 2025 close (early October 2025)</t>
        </is>
      </c>
    </row>
    <row r="5">
      <c r="A5" s="5" t="inlineStr">
        <is>
          <t>Brand</t>
        </is>
      </c>
      <c r="B5" s="5" t="inlineStr">
        <is>
          <t>Native gross (method-aware)</t>
        </is>
      </c>
      <c r="C5" s="5" t="inlineStr">
        <is>
          <t>Currency</t>
        </is>
      </c>
      <c r="D5" s="5" t="inlineStr">
        <is>
          <t>FX / ownership factor</t>
        </is>
      </c>
      <c r="E5" s="5" t="inlineStr">
        <is>
          <t>Consolidated USD (selected final method)</t>
        </is>
      </c>
    </row>
    <row r="6">
      <c r="A6" t="inlineStr">
        <is>
          <t>Hearth Kitchen Co</t>
        </is>
      </c>
      <c r="B6" t="n" s="7">
        <f>SUMIF(Line_Detail!$B$2:$B$38,A6,Line_Detail!$J$2:$J$38)</f>
        <v>565717.81</v>
      </c>
      <c r="C6" t="inlineStr">
        <is>
          <t>USD</t>
        </is>
      </c>
      <c r="D6" t="n">
        <v>1</v>
      </c>
      <c r="E6" t="n" s="7">
        <f>ROUND(B6*D6,2)</f>
        <v>565717.81</v>
      </c>
    </row>
    <row r="7">
      <c r="A7" t="inlineStr">
        <is>
          <t>Brine &amp; Barrel EU</t>
        </is>
      </c>
      <c r="B7" t="n" s="8">
        <f>Reconciliation!D12</f>
        <v>592336.56</v>
      </c>
      <c r="C7" t="inlineStr">
        <is>
          <t>EUR</t>
        </is>
      </c>
      <c r="D7" t="n" s="6">
        <f>Assumptions!B8</f>
        <v>1.0874</v>
      </c>
      <c r="E7" t="n" s="7">
        <f>Reconciliation!F12</f>
        <v>644106.78</v>
      </c>
    </row>
    <row r="8">
      <c r="A8" t="inlineStr">
        <is>
          <t>Kiln Spice Works</t>
        </is>
      </c>
      <c r="B8" t="n" s="7">
        <f>IF(Assumptions!$B$13="Transaction-date cutoff",SUMIF(Line_Detail!$B$2:$B$38,A8,Line_Detail!$K$2:$K$38),Reconciliation!D13)</f>
        <v>624812.56</v>
      </c>
      <c r="C8" t="inlineStr">
        <is>
          <t>USD</t>
        </is>
      </c>
      <c r="D8" t="n">
        <f>Assumptions!$B$15</f>
        <v>0.5434782609</v>
      </c>
      <c r="E8" t="n" s="7">
        <f>ROUND(B8*D8,2)</f>
        <v>339572.04</v>
      </c>
    </row>
    <row r="10">
      <c r="A10" s="5" t="inlineStr">
        <is>
          <t>Total consolidated Q3 2025 (selected final method)</t>
        </is>
      </c>
      <c r="E10" t="n" s="7">
        <f>ROUND(SUM(E6:E8),2)</f>
        <v>1549396.63</v>
      </c>
    </row>
    <row r="12">
      <c r="A12" t="inlineStr">
        <is>
          <t>Selected final Kiln ownership method</t>
        </is>
      </c>
      <c r="B12" t="str">
        <f>Assumptions!B13</f>
        <v>50/92 proration</v>
      </c>
    </row>
    <row r="13">
      <c r="A13" t="inlineStr">
        <is>
          <t>Approval evidence in supplied packet</t>
        </is>
      </c>
      <c r="B13" t="str">
        <f>Assumptions!B22</f>
        <v>Approval evidence in supplied packet: not present</v>
      </c>
    </row>
    <row r="14">
      <c r="A14" t="inlineStr">
        <is>
          <t>Modeling basis (Kiln ownership date)</t>
        </is>
      </c>
      <c r="B14" t="str">
        <f>Assumptions!B24</f>
        <v>August 12, 2025 — per acquisition memo</v>
      </c>
    </row>
    <row r="15">
      <c r="A15" t="inlineStr">
        <is>
          <t>Ownership Date Evidence Status</t>
        </is>
      </c>
      <c r="B15" t="str">
        <f>Assumptions!B25</f>
        <v>Open - supporting records not provided</v>
      </c>
    </row>
    <row r="16">
      <c r="A16" t="inlineStr">
        <is>
          <t>Post-Close Billing Support</t>
        </is>
      </c>
      <c r="B16" t="str">
        <f>Assumptions!B27</f>
        <v>Open follow-up - shipment/service evidence not provided</v>
      </c>
    </row>
    <row r="18">
      <c r="A18" s="5" t="inlineStr">
        <is>
          <t>Case comparison (Case 1 = selected board method; Case 2 = conditional only)</t>
        </is>
      </c>
    </row>
    <row r="19">
      <c r="A19" s="5" t="inlineStr">
        <is>
          <t>Metric</t>
        </is>
      </c>
      <c r="B19" s="5" t="inlineStr">
        <is>
          <t>Case 1: 50/92 proration (selected final)</t>
        </is>
      </c>
      <c r="C19" s="5" t="inlineStr">
        <is>
          <t>Case 2: Conditional cutoff (not evidenced)</t>
        </is>
      </c>
    </row>
    <row r="20">
      <c r="A20" t="inlineStr">
        <is>
          <t>Hearth Kitchen Co USD</t>
        </is>
      </c>
      <c r="B20" t="n" s="7">
        <f>E6</f>
        <v>565717.81</v>
      </c>
      <c r="C20" t="n" s="7">
        <f>E6</f>
        <v>565717.81</v>
      </c>
    </row>
    <row r="21">
      <c r="A21" t="inlineStr">
        <is>
          <t>Brine &amp; Barrel EU USD</t>
        </is>
      </c>
      <c r="B21" t="n" s="7">
        <f>E7</f>
        <v>644106.78</v>
      </c>
      <c r="C21" t="n" s="7">
        <f>E7</f>
        <v>644106.78</v>
      </c>
    </row>
    <row r="22">
      <c r="A22" t="inlineStr">
        <is>
          <t>Kiln Spice Works USD</t>
        </is>
      </c>
      <c r="B22" t="n" s="7">
        <f>ROUND(SUMIF(Line_Detail!$B$2:$B$38,"Kiln Spice Works",Line_Detail!$J$2:$J$38)*Assumptions!$B$12,2)</f>
        <v>339572.04</v>
      </c>
      <c r="C22" t="n" s="7">
        <f>ROUND(SUMIF(Line_Detail!$B$2:$B$38,"Kiln Spice Works",Line_Detail!$K$2:$K$38),2)</f>
        <v>424609.7</v>
      </c>
    </row>
    <row r="23">
      <c r="A23" s="5" t="inlineStr">
        <is>
          <t>Total consolidated Q3 2025 USD</t>
        </is>
      </c>
      <c r="B23" t="n" s="7">
        <f>ROUND(B20+B21+B22,2)</f>
        <v>1549396.63</v>
      </c>
      <c r="C23" t="n" s="7">
        <f>ROUND(C20+C21+C22,2)</f>
        <v>1634434.29</v>
      </c>
    </row>
    <row r="24">
      <c r="A24" t="inlineStr">
        <is>
          <t>Case 2 reporting label</t>
        </is>
      </c>
      <c r="C24" t="str">
        <f>Assumptions!B23</f>
        <v>Conditional transaction-date cutoff scenario — approval evidence not present in packet</v>
      </c>
    </row>
    <row r="26">
      <c r="A26" t="inlineStr">
        <is>
          <t>Method note</t>
        </is>
      </c>
      <c r="B26" t="inlineStr">
        <is>
          <t>Selected final board figure uses 50/92 proration governed by kiln_spice_acquisition_memo.txt. Case 2 recalculates the transaction-date cutoff from Line_Detail kiln_post_close_eligible and is labeled a Conditional transaction-date cutoff scenario because approval evidence is not present in the supplied packet. Ownership-date support (Schedule 2.1 / bank wire) and post-close billing shipment/service support remain open follow-ups. Do not mix methods. See Kiln_Audit for every Kiln row.</t>
        </is>
      </c>
    </row>
    <row r="27">
      <c r="A27" t="inlineStr">
        <is>
          <t>Brine FX note</t>
        </is>
      </c>
      <c r="B27" t="inlineStr">
        <is>
          <t>Governing Brine USD uses sum-then-round (native EUR sum × 1.0874, rounded to cents). Line-by-line convert-then-round control equals $644,106.77 and is not used for the consolidated Brine 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2" customWidth="1" min="4" max="4"/>
    <col width="16" customWidth="1" min="5" max="5"/>
    <col width="14" customWidth="1" min="6" max="6"/>
    <col width="12" customWidth="1" min="7" max="7"/>
    <col width="20" customWidth="1" min="8" max="8"/>
    <col width="18" customWidth="1" min="9" max="9"/>
    <col width="22" customWidth="1" min="10" max="10"/>
    <col width="12" customWidth="1" min="11" max="11"/>
  </cols>
  <sheetData>
    <row r="1">
      <c r="A1" s="5" t="inlineStr">
        <is>
          <t>transaction_id</t>
        </is>
      </c>
      <c r="B1" s="5" t="inlineStr">
        <is>
          <t>transaction_date</t>
        </is>
      </c>
      <c r="C1" s="5" t="inlineStr">
        <is>
          <t>amount_native</t>
        </is>
      </c>
      <c r="D1" s="5" t="inlineStr">
        <is>
          <t>status</t>
        </is>
      </c>
      <c r="E1" s="5" t="inlineStr">
        <is>
          <t>status_period_include</t>
        </is>
      </c>
      <c r="F1" s="5" t="inlineStr">
        <is>
          <t>pre_or_post_close</t>
        </is>
      </c>
      <c r="G1" s="5" t="inlineStr">
        <is>
          <t>cutoff_include</t>
        </is>
      </c>
      <c r="H1" s="5" t="inlineStr">
        <is>
          <t>cutoff_exclude_reason</t>
        </is>
      </c>
      <c r="I1" s="5" t="inlineStr">
        <is>
          <t>amount_to_cutoff_revenue</t>
        </is>
      </c>
      <c r="J1" s="5" t="inlineStr">
        <is>
          <t>amount_to_full_quarter_eligible</t>
        </is>
      </c>
      <c r="K1" s="5" t="inlineStr">
        <is>
          <t>Line_Detail_row</t>
        </is>
      </c>
    </row>
    <row r="2">
      <c r="A2" t="str">
        <f>Line_Detail!A5</f>
        <v>KS-33408</v>
      </c>
      <c r="B2" t="str">
        <f>Line_Detail!C5</f>
        <v>2025-07-09</v>
      </c>
      <c r="C2" t="n" s="7">
        <f>Line_Detail!E5</f>
        <v>88412.33</v>
      </c>
      <c r="D2" t="str">
        <f>Line_Detail!G5</f>
        <v>posted</v>
      </c>
      <c r="E2" t="str">
        <f>Line_Detail!H5</f>
        <v>yes</v>
      </c>
      <c r="F2" t="str">
        <f>IF(B2&lt;Assumptions!$B$9,"pre-close","post-close")</f>
        <v>pre-close</v>
      </c>
      <c r="G2" t="str">
        <f>IF(AND(E2="yes",F2="post-close"),"included","excluded")</f>
        <v>excluded</v>
      </c>
      <c r="H2">
        <f>IF(G2="included","",IF(E2&lt;&gt;"yes",IF(Line_Detail!I5&lt;&gt;"",Line_Detail!I5,"status_or_period"),"pre-close_ownership"))</f>
        <v/>
      </c>
      <c r="I2" t="n" s="7">
        <f>Line_Detail!K5</f>
        <v>0</v>
      </c>
      <c r="J2" t="n" s="7">
        <f>Line_Detail!J5</f>
        <v>88412.33</v>
      </c>
      <c r="K2" t="n">
        <v>5</v>
      </c>
    </row>
    <row r="3">
      <c r="A3" t="str">
        <f>Line_Detail!A9</f>
        <v>KS-34155</v>
      </c>
      <c r="B3" t="str">
        <f>Line_Detail!C9</f>
        <v>2025-07-23</v>
      </c>
      <c r="C3" t="n" s="7">
        <f>Line_Detail!E9</f>
        <v>51207.18</v>
      </c>
      <c r="D3" t="str">
        <f>Line_Detail!G9</f>
        <v>posted</v>
      </c>
      <c r="E3" t="str">
        <f>Line_Detail!H9</f>
        <v>yes</v>
      </c>
      <c r="F3" t="str">
        <f>IF(B3&lt;Assumptions!$B$9,"pre-close","post-close")</f>
        <v>pre-close</v>
      </c>
      <c r="G3" t="str">
        <f>IF(AND(E3="yes",F3="post-close"),"included","excluded")</f>
        <v>excluded</v>
      </c>
      <c r="H3">
        <f>IF(G3="included","",IF(E3&lt;&gt;"yes",IF(Line_Detail!I9&lt;&gt;"",Line_Detail!I9,"status_or_period"),"pre-close_ownership"))</f>
        <v/>
      </c>
      <c r="I3" t="n" s="7">
        <f>Line_Detail!K9</f>
        <v>0</v>
      </c>
      <c r="J3" t="n" s="7">
        <f>Line_Detail!J9</f>
        <v>51207.18</v>
      </c>
      <c r="K3" t="n">
        <v>9</v>
      </c>
    </row>
    <row r="4">
      <c r="A4" t="str">
        <f>Line_Detail!A11</f>
        <v>KS-34802</v>
      </c>
      <c r="B4" t="str">
        <f>Line_Detail!C11</f>
        <v>2025-08-04</v>
      </c>
      <c r="C4" t="n" s="7">
        <f>Line_Detail!E11</f>
        <v>37664.9</v>
      </c>
      <c r="D4" t="str">
        <f>Line_Detail!G11</f>
        <v>posted</v>
      </c>
      <c r="E4" t="str">
        <f>Line_Detail!H11</f>
        <v>yes</v>
      </c>
      <c r="F4" t="str">
        <f>IF(B4&lt;Assumptions!$B$9,"pre-close","post-close")</f>
        <v>pre-close</v>
      </c>
      <c r="G4" t="str">
        <f>IF(AND(E4="yes",F4="post-close"),"included","excluded")</f>
        <v>excluded</v>
      </c>
      <c r="H4">
        <f>IF(G4="included","",IF(E4&lt;&gt;"yes",IF(Line_Detail!I11&lt;&gt;"",Line_Detail!I11,"status_or_period"),"pre-close_ownership"))</f>
        <v/>
      </c>
      <c r="I4" t="n" s="7">
        <f>Line_Detail!K11</f>
        <v>0</v>
      </c>
      <c r="J4" t="n" s="7">
        <f>Line_Detail!J11</f>
        <v>37664.9</v>
      </c>
      <c r="K4" t="n">
        <v>11</v>
      </c>
    </row>
    <row r="5">
      <c r="A5" t="str">
        <f>Line_Detail!A15</f>
        <v>KS-35220</v>
      </c>
      <c r="B5" t="str">
        <f>Line_Detail!C15</f>
        <v>2025-08-11</v>
      </c>
      <c r="C5" t="n" s="7">
        <f>Line_Detail!E15</f>
        <v>22918.45</v>
      </c>
      <c r="D5" t="str">
        <f>Line_Detail!G15</f>
        <v>posted</v>
      </c>
      <c r="E5" t="str">
        <f>Line_Detail!H15</f>
        <v>yes</v>
      </c>
      <c r="F5" t="str">
        <f>IF(B5&lt;Assumptions!$B$9,"pre-close","post-close")</f>
        <v>pre-close</v>
      </c>
      <c r="G5" t="str">
        <f>IF(AND(E5="yes",F5="post-close"),"included","excluded")</f>
        <v>excluded</v>
      </c>
      <c r="H5">
        <f>IF(G5="included","",IF(E5&lt;&gt;"yes",IF(Line_Detail!I15&lt;&gt;"",Line_Detail!I15,"status_or_period"),"pre-close_ownership"))</f>
        <v/>
      </c>
      <c r="I5" t="n" s="7">
        <f>Line_Detail!K15</f>
        <v>0</v>
      </c>
      <c r="J5" t="n" s="7">
        <f>Line_Detail!J15</f>
        <v>22918.45</v>
      </c>
      <c r="K5" t="n">
        <v>15</v>
      </c>
    </row>
    <row r="6">
      <c r="A6" t="str">
        <f>Line_Detail!A16</f>
        <v>KS-36001</v>
      </c>
      <c r="B6" t="str">
        <f>Line_Detail!C16</f>
        <v>2025-08-12</v>
      </c>
      <c r="C6" t="n" s="7">
        <f>Line_Detail!E16</f>
        <v>67428.56</v>
      </c>
      <c r="D6" t="str">
        <f>Line_Detail!G16</f>
        <v>posted</v>
      </c>
      <c r="E6" t="str">
        <f>Line_Detail!H16</f>
        <v>yes</v>
      </c>
      <c r="F6" t="str">
        <f>IF(B6&lt;Assumptions!$B$9,"pre-close","post-close")</f>
        <v>post-close</v>
      </c>
      <c r="G6" t="str">
        <f>IF(AND(E6="yes",F6="post-close"),"included","excluded")</f>
        <v>included</v>
      </c>
      <c r="H6">
        <f>IF(G6="included","",IF(E6&lt;&gt;"yes",IF(Line_Detail!I16&lt;&gt;"",Line_Detail!I16,"status_or_period"),"pre-close_ownership"))</f>
        <v/>
      </c>
      <c r="I6" t="n" s="7">
        <f>Line_Detail!K16</f>
        <v>67428.56</v>
      </c>
      <c r="J6" t="n" s="7">
        <f>Line_Detail!J16</f>
        <v>67428.56</v>
      </c>
      <c r="K6" t="n">
        <v>16</v>
      </c>
    </row>
    <row r="7">
      <c r="A7" t="str">
        <f>Line_Detail!A18</f>
        <v>KS-36544</v>
      </c>
      <c r="B7" t="str">
        <f>Line_Detail!C18</f>
        <v>2025-08-19</v>
      </c>
      <c r="C7" t="n" s="7">
        <f>Line_Detail!E18</f>
        <v>95817.22</v>
      </c>
      <c r="D7" t="str">
        <f>Line_Detail!G18</f>
        <v>posted</v>
      </c>
      <c r="E7" t="str">
        <f>Line_Detail!H18</f>
        <v>yes</v>
      </c>
      <c r="F7" t="str">
        <f>IF(B7&lt;Assumptions!$B$9,"pre-close","post-close")</f>
        <v>post-close</v>
      </c>
      <c r="G7" t="str">
        <f>IF(AND(E7="yes",F7="post-close"),"included","excluded")</f>
        <v>included</v>
      </c>
      <c r="H7">
        <f>IF(G7="included","",IF(E7&lt;&gt;"yes",IF(Line_Detail!I18&lt;&gt;"",Line_Detail!I18,"status_or_period"),"pre-close_ownership"))</f>
        <v/>
      </c>
      <c r="I7" t="n" s="7">
        <f>Line_Detail!K18</f>
        <v>95817.22</v>
      </c>
      <c r="J7" t="n" s="7">
        <f>Line_Detail!J18</f>
        <v>95817.22</v>
      </c>
      <c r="K7" t="n">
        <v>18</v>
      </c>
    </row>
    <row r="8">
      <c r="A8" t="str">
        <f>Line_Detail!A21</f>
        <v>KS-37102</v>
      </c>
      <c r="B8" t="str">
        <f>Line_Detail!C21</f>
        <v>2025-08-28</v>
      </c>
      <c r="C8" t="n" s="7">
        <f>Line_Detail!E21</f>
        <v>81244.67</v>
      </c>
      <c r="D8" t="str">
        <f>Line_Detail!G21</f>
        <v>posted</v>
      </c>
      <c r="E8" t="str">
        <f>Line_Detail!H21</f>
        <v>yes</v>
      </c>
      <c r="F8" t="str">
        <f>IF(B8&lt;Assumptions!$B$9,"pre-close","post-close")</f>
        <v>post-close</v>
      </c>
      <c r="G8" t="str">
        <f>IF(AND(E8="yes",F8="post-close"),"included","excluded")</f>
        <v>included</v>
      </c>
      <c r="H8">
        <f>IF(G8="included","",IF(E8&lt;&gt;"yes",IF(Line_Detail!I21&lt;&gt;"",Line_Detail!I21,"status_or_period"),"pre-close_ownership"))</f>
        <v/>
      </c>
      <c r="I8" t="n" s="7">
        <f>Line_Detail!K21</f>
        <v>81244.67</v>
      </c>
      <c r="J8" t="n" s="7">
        <f>Line_Detail!J21</f>
        <v>81244.67</v>
      </c>
      <c r="K8" t="n">
        <v>21</v>
      </c>
    </row>
    <row r="9">
      <c r="A9" t="str">
        <f>Line_Detail!A24</f>
        <v>KS-37888</v>
      </c>
      <c r="B9" t="str">
        <f>Line_Detail!C24</f>
        <v>2025-09-05</v>
      </c>
      <c r="C9" t="n" s="7">
        <f>Line_Detail!E24</f>
        <v>44109.38</v>
      </c>
      <c r="D9" t="str">
        <f>Line_Detail!G24</f>
        <v>posted</v>
      </c>
      <c r="E9" t="str">
        <f>Line_Detail!H24</f>
        <v>yes</v>
      </c>
      <c r="F9" t="str">
        <f>IF(B9&lt;Assumptions!$B$9,"pre-close","post-close")</f>
        <v>post-close</v>
      </c>
      <c r="G9" t="str">
        <f>IF(AND(E9="yes",F9="post-close"),"included","excluded")</f>
        <v>included</v>
      </c>
      <c r="H9">
        <f>IF(G9="included","",IF(E9&lt;&gt;"yes",IF(Line_Detail!I24&lt;&gt;"",Line_Detail!I24,"status_or_period"),"pre-close_ownership"))</f>
        <v/>
      </c>
      <c r="I9" t="n" s="7">
        <f>Line_Detail!K24</f>
        <v>44109.38</v>
      </c>
      <c r="J9" t="n" s="7">
        <f>Line_Detail!J24</f>
        <v>44109.38</v>
      </c>
      <c r="K9" t="n">
        <v>24</v>
      </c>
    </row>
    <row r="10">
      <c r="A10" t="str">
        <f>Line_Detail!A27</f>
        <v>KS-38401</v>
      </c>
      <c r="B10" t="str">
        <f>Line_Detail!C27</f>
        <v>2025-09-15</v>
      </c>
      <c r="C10" t="n" s="7">
        <f>Line_Detail!E27</f>
        <v>-3900</v>
      </c>
      <c r="D10" t="str">
        <f>Line_Detail!G27</f>
        <v>void</v>
      </c>
      <c r="E10" t="str">
        <f>Line_Detail!H27</f>
        <v>no</v>
      </c>
      <c r="F10" t="str">
        <f>IF(B10&lt;Assumptions!$B$9,"pre-close","post-close")</f>
        <v>post-close</v>
      </c>
      <c r="G10" t="str">
        <f>IF(AND(E10="yes",F10="post-close"),"included","excluded")</f>
        <v>excluded</v>
      </c>
      <c r="H10">
        <f>IF(G10="included","",IF(E10&lt;&gt;"yes",IF(Line_Detail!I27&lt;&gt;"",Line_Detail!I27,"status_or_period"),"pre-close_ownership"))</f>
        <v/>
      </c>
      <c r="I10" t="n" s="7">
        <f>Line_Detail!K27</f>
        <v>0</v>
      </c>
      <c r="J10" t="n" s="7">
        <f>Line_Detail!J27</f>
        <v>0</v>
      </c>
      <c r="K10" t="n">
        <v>27</v>
      </c>
    </row>
    <row r="11">
      <c r="A11" t="str">
        <f>Line_Detail!A30</f>
        <v>KS-39055</v>
      </c>
      <c r="B11" t="str">
        <f>Line_Detail!C30</f>
        <v>2025-09-22</v>
      </c>
      <c r="C11" t="n" s="7">
        <f>Line_Detail!E30</f>
        <v>70355.14</v>
      </c>
      <c r="D11" t="str">
        <f>Line_Detail!G30</f>
        <v>posted</v>
      </c>
      <c r="E11" t="str">
        <f>Line_Detail!H30</f>
        <v>yes</v>
      </c>
      <c r="F11" t="str">
        <f>IF(B11&lt;Assumptions!$B$9,"pre-close","post-close")</f>
        <v>post-close</v>
      </c>
      <c r="G11" t="str">
        <f>IF(AND(E11="yes",F11="post-close"),"included","excluded")</f>
        <v>included</v>
      </c>
      <c r="H11">
        <f>IF(G11="included","",IF(E11&lt;&gt;"yes",IF(Line_Detail!I30&lt;&gt;"",Line_Detail!I30,"status_or_period"),"pre-close_ownership"))</f>
        <v/>
      </c>
      <c r="I11" t="n" s="7">
        <f>Line_Detail!K30</f>
        <v>70355.14</v>
      </c>
      <c r="J11" t="n" s="7">
        <f>Line_Detail!J30</f>
        <v>70355.14</v>
      </c>
      <c r="K11" t="n">
        <v>30</v>
      </c>
    </row>
    <row r="12">
      <c r="A12" t="str">
        <f>Line_Detail!A33</f>
        <v>KS-39510</v>
      </c>
      <c r="B12" t="str">
        <f>Line_Detail!C33</f>
        <v>2025-09-27</v>
      </c>
      <c r="C12" t="n" s="7">
        <f>Line_Detail!E33</f>
        <v>38912.8</v>
      </c>
      <c r="D12" t="str">
        <f>Line_Detail!G33</f>
        <v>posted</v>
      </c>
      <c r="E12" t="str">
        <f>Line_Detail!H33</f>
        <v>yes</v>
      </c>
      <c r="F12" t="str">
        <f>IF(B12&lt;Assumptions!$B$9,"pre-close","post-close")</f>
        <v>post-close</v>
      </c>
      <c r="G12" t="str">
        <f>IF(AND(E12="yes",F12="post-close"),"included","excluded")</f>
        <v>included</v>
      </c>
      <c r="H12">
        <f>IF(G12="included","",IF(E12&lt;&gt;"yes",IF(Line_Detail!I33&lt;&gt;"",Line_Detail!I33,"status_or_period"),"pre-close_ownership"))</f>
        <v/>
      </c>
      <c r="I12" t="n" s="7">
        <f>Line_Detail!K33</f>
        <v>38912.8</v>
      </c>
      <c r="J12" t="n" s="7">
        <f>Line_Detail!J33</f>
        <v>38912.8</v>
      </c>
      <c r="K12" t="n">
        <v>33</v>
      </c>
    </row>
    <row r="13">
      <c r="A13" t="str">
        <f>Line_Detail!A35</f>
        <v>KS-39788</v>
      </c>
      <c r="B13" t="str">
        <f>Line_Detail!C35</f>
        <v>2025-09-29</v>
      </c>
      <c r="C13" t="n" s="7">
        <f>Line_Detail!E35</f>
        <v>15000</v>
      </c>
      <c r="D13" t="str">
        <f>Line_Detail!G35</f>
        <v>cancelled</v>
      </c>
      <c r="E13" t="str">
        <f>Line_Detail!H35</f>
        <v>no</v>
      </c>
      <c r="F13" t="str">
        <f>IF(B13&lt;Assumptions!$B$9,"pre-close","post-close")</f>
        <v>post-close</v>
      </c>
      <c r="G13" t="str">
        <f>IF(AND(E13="yes",F13="post-close"),"included","excluded")</f>
        <v>excluded</v>
      </c>
      <c r="H13">
        <f>IF(G13="included","",IF(E13&lt;&gt;"yes",IF(Line_Detail!I35&lt;&gt;"",Line_Detail!I35,"status_or_period"),"pre-close_ownership"))</f>
        <v/>
      </c>
      <c r="I13" t="n" s="7">
        <f>Line_Detail!K35</f>
        <v>0</v>
      </c>
      <c r="J13" t="n" s="7">
        <f>Line_Detail!J35</f>
        <v>0</v>
      </c>
      <c r="K13" t="n">
        <v>35</v>
      </c>
    </row>
    <row r="14">
      <c r="A14" t="str">
        <f>Line_Detail!A37</f>
        <v>KS-39902</v>
      </c>
      <c r="B14" t="str">
        <f>Line_Detail!C37</f>
        <v>2025-09-30</v>
      </c>
      <c r="C14" t="n" s="7">
        <f>Line_Detail!E37</f>
        <v>26741.93</v>
      </c>
      <c r="D14" t="str">
        <f>Line_Detail!G37</f>
        <v>posted</v>
      </c>
      <c r="E14" t="str">
        <f>Line_Detail!H37</f>
        <v>yes</v>
      </c>
      <c r="F14" t="str">
        <f>IF(B14&lt;Assumptions!$B$9,"pre-close","post-close")</f>
        <v>post-close</v>
      </c>
      <c r="G14" t="str">
        <f>IF(AND(E14="yes",F14="post-close"),"included","excluded")</f>
        <v>included</v>
      </c>
      <c r="H14">
        <f>IF(G14="included","",IF(E14&lt;&gt;"yes",IF(Line_Detail!I37&lt;&gt;"",Line_Detail!I37,"status_or_period"),"pre-close_ownership"))</f>
        <v/>
      </c>
      <c r="I14" t="n" s="7">
        <f>Line_Detail!K37</f>
        <v>26741.93</v>
      </c>
      <c r="J14" t="n" s="7">
        <f>Line_Detail!J37</f>
        <v>26741.93</v>
      </c>
      <c r="K14" t="n">
        <v>37</v>
      </c>
    </row>
    <row r="15">
      <c r="A15" s="5" t="inlineStr">
        <is>
          <t>Kiln method totals (formula sums)</t>
        </is>
      </c>
      <c r="I15" t="n" s="7">
        <f>SUM(I2:I14)</f>
        <v>424609.7</v>
      </c>
      <c r="J15" t="n" s="7">
        <f>SUM(J2:J14)</f>
        <v>624812.56</v>
      </c>
    </row>
    <row r="17">
      <c r="A17" t="inlineStr">
        <is>
          <t>Cutoff Kiln USD (Case 2 — conditional)</t>
        </is>
      </c>
      <c r="B17" t="n" s="7">
        <f>I15</f>
        <v>424609.7</v>
      </c>
    </row>
    <row r="18">
      <c r="A18" t="inlineStr">
        <is>
          <t>Full-quarter Kiln eligible USD (pre-proration)</t>
        </is>
      </c>
      <c r="B18" t="n" s="7">
        <f>J15</f>
        <v>624812.56</v>
      </c>
    </row>
    <row r="19">
      <c r="A19" t="inlineStr">
        <is>
          <t>50/92 Kiln USD (Case 1 — selected final)</t>
        </is>
      </c>
      <c r="B19" t="n" s="7">
        <f>ROUND(J15*Assumptions!$B$12,2)</f>
        <v>339572.04</v>
      </c>
    </row>
    <row r="20">
      <c r="A20" t="inlineStr">
        <is>
          <t>Governing close date (modeling)</t>
        </is>
      </c>
      <c r="B20" t="str">
        <f>Assumptions!$B$9</f>
        <v>2025-08-12</v>
      </c>
    </row>
    <row r="21">
      <c r="A21" t="inlineStr">
        <is>
          <t>Rule</t>
        </is>
      </c>
      <c r="B21" t="inlineStr">
        <is>
          <t>50/92 ownership/proration method — governed by kiln_spice_acquisition_memo.txt (selected final). Transaction-date cutoff may be calculated as a Conditional transaction-date cutoff scenario only; approval evidence is not present in the supplied packet. Ownership-date and post-close billing support remain open follow-ups. Do not mix methods.</t>
        </is>
      </c>
    </row>
    <row r="22">
      <c r="A22" t="inlineStr">
        <is>
          <t>Approval evidence in supplied packet</t>
        </is>
      </c>
      <c r="B22" t="str">
        <f>Assumptions!B22</f>
        <v>Approval evidence in supplied packet: not present</v>
      </c>
    </row>
    <row r="23">
      <c r="A23" t="inlineStr">
        <is>
          <t>Modeling basis (Kiln ownership date)</t>
        </is>
      </c>
      <c r="B23" t="str">
        <f>Assumptions!B24</f>
        <v>August 12, 2025 — per acquisition memo</v>
      </c>
    </row>
    <row r="24">
      <c r="A24" t="inlineStr">
        <is>
          <t>Ownership Date Evidence Status</t>
        </is>
      </c>
      <c r="B24" t="str">
        <f>Assumptions!B25</f>
        <v>Open - supporting records not provided</v>
      </c>
    </row>
    <row r="25">
      <c r="A25" t="inlineStr">
        <is>
          <t>Supporting evidence status (ownership date)</t>
        </is>
      </c>
      <c r="B25" t="str">
        <f>Assumptions!B26</f>
        <v>Not independently confirmed from Schedule 2.1 or bank wire confirmation; those records are not in the packet.</v>
      </c>
    </row>
    <row r="26">
      <c r="A26" t="inlineStr">
        <is>
          <t>Post-Close Billing Support</t>
        </is>
      </c>
      <c r="B26" t="str">
        <f>Assumptions!B27</f>
        <v>Open follow-up - shipment/service evidence not provided</v>
      </c>
    </row>
  </sheetData>
  <autoFilter ref="A1:K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6" customWidth="1" min="6" max="6"/>
    <col width="16" customWidth="1" min="7" max="7"/>
    <col width="52" customWidth="1" min="8" max="8"/>
  </cols>
  <sheetData>
    <row r="1">
      <c r="A1" s="9" t="inlineStr">
        <is>
          <t>Reconciliation bridge — raw extract gross to Brand_Rollup</t>
        </is>
      </c>
    </row>
    <row r="2">
      <c r="A2" s="10" t="inlineStr">
        <is>
          <t>Formula-driven bridge. Editing Line_Detail updates raw gross, exclusions, D12/F12 (Brine), D13 (Kiln), Brand_Rollup, and control difference.</t>
        </is>
      </c>
    </row>
    <row r="3">
      <c r="A3" s="11" t="inlineStr">
        <is>
          <t>Category</t>
        </is>
      </c>
      <c r="B3" s="11" t="inlineStr">
        <is>
          <t>Hearth Kitchen Co (USD)</t>
        </is>
      </c>
      <c r="C3" s="11" t="inlineStr">
        <is>
          <t>Brine &amp; Barrel EU (EUR)</t>
        </is>
      </c>
      <c r="D3" s="11" t="inlineStr">
        <is>
          <t>Native eligible link</t>
        </is>
      </c>
      <c r="E3" s="11" t="inlineStr">
        <is>
          <t>Kiln Spice Works (USD)</t>
        </is>
      </c>
      <c r="F3" s="11" t="inlineStr">
        <is>
          <t>Brine / board USD</t>
        </is>
      </c>
      <c r="G3" s="11" t="inlineStr">
        <is>
          <t>Consolidated USD</t>
        </is>
      </c>
      <c r="H3" s="11" t="inlineStr">
        <is>
          <t>Source / note</t>
        </is>
      </c>
    </row>
    <row r="4">
      <c r="A4" t="inlineStr">
        <is>
          <t>Raw extract gross</t>
        </is>
      </c>
      <c r="B4" t="n" s="7">
        <f>SUMIF(Line_Detail!$B$2:$B$38,"Hearth Kitchen Co",Line_Detail!$E$2:$E$38)</f>
        <v>695834.76</v>
      </c>
      <c r="C4" t="n" s="8">
        <f>SUMIF(Line_Detail!$B$2:$B$38,"Brine &amp; Barrel EU",Line_Detail!$E$2:$E$38)</f>
        <v>620903.08</v>
      </c>
      <c r="E4" t="n" s="7">
        <f>SUMIF(Line_Detail!$B$2:$B$38,"Kiln Spice Works",Line_Detail!$E$2:$E$38)</f>
        <v>635912.56</v>
      </c>
      <c r="F4" t="n" s="7">
        <f>ROUND(C4*Assumptions!$B$8,2)</f>
        <v>675170.01</v>
      </c>
      <c r="G4" t="n" s="7">
        <f>ROUND(B4+F4+E4,2)</f>
        <v>2006917.33</v>
      </c>
      <c r="H4" t="inlineStr">
        <is>
          <t>vesper_culinary_brands_brand_ledger.csv (all extract rows)</t>
        </is>
      </c>
    </row>
    <row r="5">
      <c r="A5" t="inlineStr">
        <is>
          <t>Less: void / cancelled status exclusions</t>
        </is>
      </c>
      <c r="B5" t="n" s="7">
        <f>SUMIFS(Line_Detail!$E$2:$E$38,Line_Detail!$B$2:$B$38,"Hearth Kitchen Co",Line_Detail!$I$2:$I$38,"status_void")+SUMIFS(Line_Detail!$E$2:$E$38,Line_Detail!$B$2:$B$38,"Hearth Kitchen Co",Line_Detail!$I$2:$I$38,"status_cancelled")</f>
        <v>-8416.22</v>
      </c>
      <c r="C5" t="n" s="8">
        <f>SUMIFS(Line_Detail!$E$2:$E$38,Line_Detail!$B$2:$B$38,"Brine &amp; Barrel EU",Line_Detail!$I$2:$I$38,"status_void")+SUMIFS(Line_Detail!$E$2:$E$38,Line_Detail!$B$2:$B$38,"Brine &amp; Barrel EU",Line_Detail!$I$2:$I$38,"status_cancelled")</f>
        <v>6566.52</v>
      </c>
      <c r="E5" t="n" s="7">
        <f>SUMIFS(Line_Detail!$E$2:$E$38,Line_Detail!$B$2:$B$38,"Kiln Spice Works",Line_Detail!$I$2:$I$38,"status_void")+SUMIFS(Line_Detail!$E$2:$E$38,Line_Detail!$B$2:$B$38,"Kiln Spice Works",Line_Detail!$I$2:$I$38,"status_cancelled")</f>
        <v>11100</v>
      </c>
      <c r="F5" t="n" s="7">
        <f>ROUND(C5*Assumptions!$B$8,2)</f>
        <v>7140.43</v>
      </c>
      <c r="G5" t="n" s="7">
        <f>ROUND(B5+F5+E5,2)</f>
        <v>9824.21</v>
      </c>
      <c r="H5" t="inlineStr">
        <is>
          <t>Ledger status void/cancelled; brine_barrel_fx_and_period_reference.txt</t>
        </is>
      </c>
    </row>
    <row r="6">
      <c r="A6" t="inlineStr">
        <is>
          <t>Less: duplicate exclusions</t>
        </is>
      </c>
      <c r="B6" t="n" s="7">
        <f>SUMIFS(Line_Detail!$E$2:$E$38,Line_Detail!$B$2:$B$38,"Hearth Kitchen Co",Line_Detail!$I$2:$I$38,"status_duplicate")</f>
        <v>97533.17</v>
      </c>
      <c r="C6" t="n" s="8">
        <f>SUMIFS(Line_Detail!$E$2:$E$38,Line_Detail!$B$2:$B$38,"Brine &amp; Barrel EU",Line_Detail!$I$2:$I$38,"status_duplicate")</f>
        <v>0</v>
      </c>
      <c r="E6" t="n" s="7">
        <f>SUMIFS(Line_Detail!$E$2:$E$38,Line_Detail!$B$2:$B$38,"Kiln Spice Works",Line_Detail!$I$2:$I$38,"status_duplicate")</f>
        <v>0</v>
      </c>
      <c r="F6" t="n" s="7">
        <f>ROUND(C6*Assumptions!$B$8,2)</f>
        <v>0</v>
      </c>
      <c r="G6" t="n" s="7">
        <f>ROUND(B6+F6+E6,2)</f>
        <v>97533.17</v>
      </c>
      <c r="H6" t="inlineStr">
        <is>
          <t>Ledger status=duplicate</t>
        </is>
      </c>
    </row>
    <row r="7">
      <c r="A7" t="inlineStr">
        <is>
          <t>Less: period exclusions (prior / post / out_of_period)</t>
        </is>
      </c>
      <c r="B7" t="n" s="7">
        <f>SUMIFS(Line_Detail!$E$2:$E$38,Line_Detail!$B$2:$B$38,"Hearth Kitchen Co",Line_Detail!$I$2:$I$38,"prior_period")+SUMIFS(Line_Detail!$E$2:$E$38,Line_Detail!$B$2:$B$38,"Hearth Kitchen Co",Line_Detail!$I$2:$I$38,"post_period")+SUMIFS(Line_Detail!$E$2:$E$38,Line_Detail!$B$2:$B$38,"Hearth Kitchen Co",Line_Detail!$I$2:$I$38,"status_out_of_period")</f>
        <v>41000</v>
      </c>
      <c r="C7" t="n" s="8">
        <f>SUMIFS(Line_Detail!$E$2:$E$38,Line_Detail!$B$2:$B$38,"Brine &amp; Barrel EU",Line_Detail!$I$2:$I$38,"prior_period")+SUMIFS(Line_Detail!$E$2:$E$38,Line_Detail!$B$2:$B$38,"Brine &amp; Barrel EU",Line_Detail!$I$2:$I$38,"post_period")+SUMIFS(Line_Detail!$E$2:$E$38,Line_Detail!$B$2:$B$38,"Brine &amp; Barrel EU",Line_Detail!$I$2:$I$38,"status_out_of_period")</f>
        <v>22000</v>
      </c>
      <c r="E7" t="n" s="7">
        <f>SUMIFS(Line_Detail!$E$2:$E$38,Line_Detail!$B$2:$B$38,"Kiln Spice Works",Line_Detail!$I$2:$I$38,"prior_period")+SUMIFS(Line_Detail!$E$2:$E$38,Line_Detail!$B$2:$B$38,"Kiln Spice Works",Line_Detail!$I$2:$I$38,"post_period")+SUMIFS(Line_Detail!$E$2:$E$38,Line_Detail!$B$2:$B$38,"Kiln Spice Works",Line_Detail!$I$2:$I$38,"status_out_of_period")</f>
        <v>0</v>
      </c>
      <c r="F7" t="n" s="7">
        <f>ROUND(C7*Assumptions!$B$8,2)</f>
        <v>23922.8</v>
      </c>
      <c r="G7" t="n" s="7">
        <f>ROUND(B7+F7+E7,2)</f>
        <v>64922.8</v>
      </c>
      <c r="H7" t="inlineStr">
        <is>
          <t>Q3 window + out_of_period status per governing period rules</t>
        </is>
      </c>
    </row>
    <row r="8">
      <c r="A8" t="inlineStr">
        <is>
          <t>Subtotal: eligible after status / period</t>
        </is>
      </c>
      <c r="B8" t="n" s="7">
        <f>SUMIF(Line_Detail!$B$2:$B$38,"Hearth Kitchen Co",Line_Detail!$J$2:$J$38)</f>
        <v>565717.81</v>
      </c>
      <c r="C8" t="n" s="8">
        <f>D12</f>
        <v>592336.56</v>
      </c>
      <c r="E8" t="n" s="7">
        <f>D13</f>
        <v>624812.56</v>
      </c>
      <c r="F8" t="n" s="7">
        <f>F12</f>
        <v>644106.78</v>
      </c>
      <c r="G8" t="n" s="7">
        <f>ROUND(B8+F8+E8,2)</f>
        <v>1834637.15</v>
      </c>
      <c r="H8" t="inlineStr">
        <is>
          <t>Line_Detail eligible_native; D12/D13 live links</t>
        </is>
      </c>
    </row>
    <row r="9">
      <c r="A9" t="inlineStr">
        <is>
          <t>Ownership adjustment (Kiln 50/92; selected board method)</t>
        </is>
      </c>
      <c r="B9" s="7" t="n">
        <v>0</v>
      </c>
      <c r="C9" s="8" t="n">
        <v>0</v>
      </c>
      <c r="E9" t="n" s="7">
        <f>ROUND(D13*Assumptions!$B$12,2)-D13</f>
        <v>-285240.52</v>
      </c>
      <c r="F9" t="n">
        <v>0</v>
      </c>
      <c r="G9" t="n" s="7">
        <f>E9</f>
        <v>-285240.52</v>
      </c>
      <c r="H9" t="inlineStr">
        <is>
          <t>50/92 — kiln_spice_acquisition_memo.txt</t>
        </is>
      </c>
    </row>
    <row r="10">
      <c r="A10" t="inlineStr">
        <is>
          <t>Adjusted board revenue</t>
        </is>
      </c>
      <c r="B10" t="n" s="7">
        <f>B8</f>
        <v>565717.81</v>
      </c>
      <c r="C10" t="n" s="8">
        <f>D12</f>
        <v>592336.56</v>
      </c>
      <c r="E10" t="n" s="7">
        <f>ROUND(D13*Assumptions!$B$12,2)</f>
        <v>339572.04</v>
      </c>
      <c r="F10" t="n" s="7">
        <f>F12</f>
        <v>644106.78</v>
      </c>
      <c r="G10" t="n" s="7">
        <f>ROUND(B10+F10+E10,2)</f>
        <v>1549396.63</v>
      </c>
      <c r="H10" t="inlineStr">
        <is>
          <t>Board figure under selected 50/92 method</t>
        </is>
      </c>
    </row>
    <row r="11">
      <c r="A11" t="inlineStr">
        <is>
          <t>Brand_Rollup control total</t>
        </is>
      </c>
      <c r="B11" t="n" s="7">
        <f>Brand_Rollup!E6</f>
        <v>565717.81</v>
      </c>
      <c r="C11" t="n" s="8">
        <f>D12</f>
        <v>592336.56</v>
      </c>
      <c r="E11" t="n" s="7">
        <f>Brand_Rollup!E8</f>
        <v>339572.04</v>
      </c>
      <c r="F11" t="n" s="7">
        <f>Brand_Rollup!E7</f>
        <v>644106.78</v>
      </c>
      <c r="G11" t="n" s="7">
        <f>Brand_Rollup!E10</f>
        <v>1549396.63</v>
      </c>
      <c r="H11" t="inlineStr">
        <is>
          <t>Must equal adjusted board revenue</t>
        </is>
      </c>
    </row>
    <row r="12">
      <c r="A12" t="inlineStr">
        <is>
          <t>Brine eligible EUR (live from Line_Detail)</t>
        </is>
      </c>
      <c r="C12" t="inlineStr">
        <is>
          <t>Brine &amp; Barrel EU</t>
        </is>
      </c>
      <c r="D12" t="n" s="8">
        <f>SUMIF(Line_Detail!$B$2:$B$38,"Brine &amp; Barrel EU",Line_Detail!$J$2:$J$38)</f>
        <v>592336.56</v>
      </c>
      <c r="E12" t="inlineStr">
        <is>
          <t>EUR</t>
        </is>
      </c>
      <c r="F12" t="n" s="7">
        <f>ROUND(D12*Assumptions!$B$8,2)</f>
        <v>644106.78</v>
      </c>
      <c r="G12" t="inlineStr">
        <is>
          <t>→ Brand_Rollup Brine USD</t>
        </is>
      </c>
      <c r="H12" t="inlineStr">
        <is>
          <t>brine_barrel_fx_and_period_reference.txt (EUR/USD 1.0874; sum-then-round)</t>
        </is>
      </c>
    </row>
    <row r="13">
      <c r="A13" t="inlineStr">
        <is>
          <t>Kiln full-quarter eligible USD (live from Kiln_Audit)</t>
        </is>
      </c>
      <c r="C13" t="inlineStr">
        <is>
          <t>Kiln Spice Works</t>
        </is>
      </c>
      <c r="D13" t="n" s="7">
        <f>Kiln_Audit!J15</f>
        <v>624812.56</v>
      </c>
      <c r="E13" t="inlineStr">
        <is>
          <t>USD</t>
        </is>
      </c>
      <c r="F13" t="n" s="7">
        <f>ROUND(D13*Assumptions!$B$12,2)</f>
        <v>339572.04</v>
      </c>
      <c r="G13" t="inlineStr">
        <is>
          <t>→ Brand_Rollup Kiln USD (50/92)</t>
        </is>
      </c>
      <c r="H13" t="inlineStr">
        <is>
          <t>kiln_spice_acquisition_memo.txt (50/92 selected final)</t>
        </is>
      </c>
    </row>
    <row r="14">
      <c r="A14" s="5" t="inlineStr">
        <is>
          <t>Control checks</t>
        </is>
      </c>
    </row>
    <row r="15">
      <c r="A15" t="inlineStr">
        <is>
          <t>Control 1 — raw Line_Detail by brand = raw bridge total</t>
        </is>
      </c>
      <c r="B15" t="n" s="7">
        <f>ROUND(B4-SUMIF(Line_Detail!$B$2:$B$38,"Hearth Kitchen Co",Line_Detail!$E$2:$E$38),2)</f>
        <v>0</v>
      </c>
      <c r="C15" t="n" s="7">
        <f>ROUND(C4-SUMIF(Line_Detail!$B$2:$B$38,"Brine &amp; Barrel EU",Line_Detail!$E$2:$E$38),2)</f>
        <v>0</v>
      </c>
      <c r="E15" t="n" s="7">
        <f>ROUND(E4-SUMIF(Line_Detail!$B$2:$B$38,"Kiln Spice Works",Line_Detail!$E$2:$E$38),2)</f>
        <v>0</v>
      </c>
      <c r="G15" t="str">
        <f>IF(AND(ABS(B15)&lt;0.005,ABS(C15)&lt;0.005,ABS(E15)&lt;0.005),"PASS","FAIL")</f>
        <v>PASS</v>
      </c>
      <c r="H15" t="inlineStr">
        <is>
          <t>Difference must be zero</t>
        </is>
      </c>
    </row>
    <row r="16">
      <c r="A16" t="inlineStr">
        <is>
          <t>Control 2 — raw less exclusion categories = eligible / adjusted path</t>
        </is>
      </c>
      <c r="B16" t="n" s="7">
        <f>ROUND(B4-B5-B6-B7-B8,2)</f>
        <v>0</v>
      </c>
      <c r="C16" t="n" s="7">
        <f>ROUND(C4-C5-C6-C7-C8,2)</f>
        <v>0</v>
      </c>
      <c r="E16" t="n" s="7">
        <f>ROUND(E4-E5-E6-E7-E8,2)</f>
        <v>0</v>
      </c>
      <c r="G16" t="str">
        <f>IF(AND(ABS(B16)&lt;0.005,ABS(C16)&lt;0.005,ABS(E16)&lt;0.005),"PASS","FAIL")</f>
        <v>PASS</v>
      </c>
      <c r="H16" t="inlineStr">
        <is>
          <t>Bridge arithmetic identity</t>
        </is>
      </c>
    </row>
    <row r="17">
      <c r="A17" t="inlineStr">
        <is>
          <t>Control 3 — adjusted brand total = Brand_Rollup</t>
        </is>
      </c>
      <c r="B17" t="n" s="7">
        <f>ROUND(B10-B11,2)</f>
        <v>0</v>
      </c>
      <c r="E17" t="n" s="7">
        <f>ROUND(E10-E11,2)</f>
        <v>0</v>
      </c>
      <c r="F17" t="n" s="7">
        <f>ROUND(F10-F11,2)</f>
        <v>0</v>
      </c>
      <c r="G17" t="n" s="7">
        <f>ROUND(G10-G11,2)</f>
        <v>0</v>
      </c>
      <c r="H17" t="str">
        <f>IF(AND(ABS(B17)&lt;0.005,ABS(F17)&lt;0.005,ABS(E17)&lt;0.005,ABS(G17)&lt;0.005),"PASS","FAIL")</f>
        <v>PASS</v>
      </c>
    </row>
    <row r="18">
      <c r="A18" t="inlineStr">
        <is>
          <t>Control 4 — consolidated difference</t>
        </is>
      </c>
      <c r="G18" t="n" s="7">
        <f>G17</f>
        <v>0</v>
      </c>
      <c r="H18" t="str">
        <f>IF(ABS(G18)&lt;0.005,"PASS","FAIL")</f>
        <v>PASS</v>
      </c>
    </row>
    <row r="19">
      <c r="A19" t="inlineStr">
        <is>
          <t>Bridge control status (all controls)</t>
        </is>
      </c>
      <c r="G19" t="str" s="5">
        <f>IF(AND(G15="PASS",G16="PASS",H17="PASS",H18="PASS"),"PASS","FAIL")</f>
        <v>PASS</v>
      </c>
    </row>
    <row r="21">
      <c r="A21" s="5" t="inlineStr">
        <is>
          <t>Exclusion log (transaction detail)</t>
        </is>
      </c>
    </row>
    <row r="22">
      <c r="A22" s="5" t="inlineStr">
        <is>
          <t>Issue</t>
        </is>
      </c>
      <c r="B22" s="5" t="inlineStr">
        <is>
          <t>transaction_id</t>
        </is>
      </c>
      <c r="C22" s="5" t="inlineStr">
        <is>
          <t>brand</t>
        </is>
      </c>
      <c r="D22" s="5" t="inlineStr">
        <is>
          <t>native_amount</t>
        </is>
      </c>
      <c r="E22" s="5" t="inlineStr">
        <is>
          <t>currency</t>
        </is>
      </c>
      <c r="F22" s="5" t="inlineStr">
        <is>
          <t>USD_Impact</t>
        </is>
      </c>
      <c r="G22" s="5" t="inlineStr">
        <is>
          <t>Action</t>
        </is>
      </c>
      <c r="H22" s="5" t="inlineStr">
        <is>
          <t>Source</t>
        </is>
      </c>
    </row>
    <row r="23">
      <c r="A23" t="inlineStr">
        <is>
          <t>prior_period</t>
        </is>
      </c>
      <c r="B23" t="inlineStr">
        <is>
          <t>VC-66208</t>
        </is>
      </c>
      <c r="C23" t="inlineStr">
        <is>
          <t>Hearth Kitchen Co</t>
        </is>
      </c>
      <c r="D23" s="7" t="n">
        <v>41000</v>
      </c>
      <c r="E23" t="inlineStr">
        <is>
          <t>USD</t>
        </is>
      </c>
      <c r="F23" t="n" s="7">
        <f>IF(E23="EUR",ROUND(D23*Assumptions!$B$8,2),D23)</f>
        <v>41000</v>
      </c>
      <c r="G23" t="inlineStr">
        <is>
          <t>Excluded from consolidated Q3 revenue</t>
        </is>
      </c>
      <c r="H23" t="inlineStr">
        <is>
          <t>vesper_culinary_brands_brand_ledger.csv</t>
        </is>
      </c>
    </row>
    <row r="24">
      <c r="A24" t="inlineStr">
        <is>
          <t>status_duplicate</t>
        </is>
      </c>
      <c r="B24" t="inlineStr">
        <is>
          <t>VC-81091</t>
        </is>
      </c>
      <c r="C24" t="inlineStr">
        <is>
          <t>Hearth Kitchen Co</t>
        </is>
      </c>
      <c r="D24" s="7" t="n">
        <v>97533.17</v>
      </c>
      <c r="E24" t="inlineStr">
        <is>
          <t>USD</t>
        </is>
      </c>
      <c r="F24" t="n" s="7">
        <f>IF(E24="EUR",ROUND(D24*Assumptions!$B$8,2),D24)</f>
        <v>97533.17</v>
      </c>
      <c r="G24" t="inlineStr">
        <is>
          <t>Excluded from consolidated Q3 revenue</t>
        </is>
      </c>
      <c r="H24" t="inlineStr">
        <is>
          <t>vesper_culinary_brands_brand_ledger.csv</t>
        </is>
      </c>
    </row>
    <row r="25">
      <c r="A25" t="inlineStr">
        <is>
          <t>status_void</t>
        </is>
      </c>
      <c r="B25" t="inlineStr">
        <is>
          <t>VC-58204</t>
        </is>
      </c>
      <c r="C25" t="inlineStr">
        <is>
          <t>Brine &amp; Barrel EU</t>
        </is>
      </c>
      <c r="D25" s="8" t="n">
        <v>-6233.48</v>
      </c>
      <c r="E25" t="inlineStr">
        <is>
          <t>EUR</t>
        </is>
      </c>
      <c r="F25" t="n" s="7">
        <f>IF(E25="EUR",ROUND(D25*Assumptions!$B$8,2),D25)</f>
        <v>-6778.29</v>
      </c>
      <c r="G25" t="inlineStr">
        <is>
          <t>Excluded from consolidated Q3 revenue</t>
        </is>
      </c>
      <c r="H25" t="inlineStr">
        <is>
          <t>vesper_culinary_brands_brand_ledger.csv</t>
        </is>
      </c>
    </row>
    <row r="26">
      <c r="A26" t="inlineStr">
        <is>
          <t>status_void</t>
        </is>
      </c>
      <c r="B26" t="inlineStr">
        <is>
          <t>VC-82591</t>
        </is>
      </c>
      <c r="C26" t="inlineStr">
        <is>
          <t>Hearth Kitchen Co</t>
        </is>
      </c>
      <c r="D26" s="7" t="n">
        <v>-8416.22</v>
      </c>
      <c r="E26" t="inlineStr">
        <is>
          <t>USD</t>
        </is>
      </c>
      <c r="F26" t="n" s="7">
        <f>IF(E26="EUR",ROUND(D26*Assumptions!$B$8,2),D26)</f>
        <v>-8416.22</v>
      </c>
      <c r="G26" t="inlineStr">
        <is>
          <t>Excluded from consolidated Q3 revenue</t>
        </is>
      </c>
      <c r="H26" t="inlineStr">
        <is>
          <t>vesper_culinary_brands_brand_ledger.csv</t>
        </is>
      </c>
    </row>
    <row r="27">
      <c r="A27" t="inlineStr">
        <is>
          <t>status_void</t>
        </is>
      </c>
      <c r="B27" t="inlineStr">
        <is>
          <t>KS-38401</t>
        </is>
      </c>
      <c r="C27" t="inlineStr">
        <is>
          <t>Kiln Spice Works</t>
        </is>
      </c>
      <c r="D27" s="7" t="n">
        <v>-3900</v>
      </c>
      <c r="E27" t="inlineStr">
        <is>
          <t>USD</t>
        </is>
      </c>
      <c r="F27" t="n" s="7">
        <f>IF(E27="EUR",ROUND(D27*Assumptions!$B$8,2),D27)</f>
        <v>-3900</v>
      </c>
      <c r="G27" t="inlineStr">
        <is>
          <t>Excluded from consolidated Q3 revenue</t>
        </is>
      </c>
      <c r="H27" t="inlineStr">
        <is>
          <t>vesper_culinary_brands_brand_ledger.csv</t>
        </is>
      </c>
    </row>
    <row r="28">
      <c r="A28" t="inlineStr">
        <is>
          <t>status_cancelled</t>
        </is>
      </c>
      <c r="B28" t="inlineStr">
        <is>
          <t>VC-60144</t>
        </is>
      </c>
      <c r="C28" t="inlineStr">
        <is>
          <t>Brine &amp; Barrel EU</t>
        </is>
      </c>
      <c r="D28" s="8" t="n">
        <v>12800</v>
      </c>
      <c r="E28" t="inlineStr">
        <is>
          <t>EUR</t>
        </is>
      </c>
      <c r="F28" t="n" s="7">
        <f>IF(E28="EUR",ROUND(D28*Assumptions!$B$8,2),D28)</f>
        <v>13918.72</v>
      </c>
      <c r="G28" t="inlineStr">
        <is>
          <t>Excluded from consolidated Q3 revenue</t>
        </is>
      </c>
      <c r="H28" t="inlineStr">
        <is>
          <t>vesper_culinary_brands_brand_ledger.csv</t>
        </is>
      </c>
    </row>
    <row r="29">
      <c r="A29" t="inlineStr">
        <is>
          <t>status_cancelled</t>
        </is>
      </c>
      <c r="B29" t="inlineStr">
        <is>
          <t>VC-84108</t>
        </is>
      </c>
      <c r="C29" t="inlineStr">
        <is>
          <t>Hearth Kitchen Co</t>
        </is>
      </c>
      <c r="D29" s="7" t="n">
        <v>0</v>
      </c>
      <c r="E29" t="inlineStr">
        <is>
          <t>USD</t>
        </is>
      </c>
      <c r="F29" t="n" s="7">
        <f>IF(E29="EUR",ROUND(D29*Assumptions!$B$8,2),D29)</f>
        <v>0</v>
      </c>
      <c r="G29" t="inlineStr">
        <is>
          <t>Excluded from consolidated Q3 revenue</t>
        </is>
      </c>
      <c r="H29" t="inlineStr">
        <is>
          <t>vesper_culinary_brands_brand_ledger.csv</t>
        </is>
      </c>
    </row>
    <row r="30">
      <c r="A30" t="inlineStr">
        <is>
          <t>status_cancelled</t>
        </is>
      </c>
      <c r="B30" t="inlineStr">
        <is>
          <t>KS-39788</t>
        </is>
      </c>
      <c r="C30" t="inlineStr">
        <is>
          <t>Kiln Spice Works</t>
        </is>
      </c>
      <c r="D30" s="7" t="n">
        <v>15000</v>
      </c>
      <c r="E30" t="inlineStr">
        <is>
          <t>USD</t>
        </is>
      </c>
      <c r="F30" t="n" s="7">
        <f>IF(E30="EUR",ROUND(D30*Assumptions!$B$8,2),D30)</f>
        <v>15000</v>
      </c>
      <c r="G30" t="inlineStr">
        <is>
          <t>Excluded from consolidated Q3 revenue</t>
        </is>
      </c>
      <c r="H30" t="inlineStr">
        <is>
          <t>vesper_culinary_brands_brand_ledger.csv</t>
        </is>
      </c>
    </row>
    <row r="31">
      <c r="A31" t="inlineStr">
        <is>
          <t>status_out_of_period</t>
        </is>
      </c>
      <c r="B31" t="inlineStr">
        <is>
          <t>VC-62091</t>
        </is>
      </c>
      <c r="C31" t="inlineStr">
        <is>
          <t>Brine &amp; Barrel EU</t>
        </is>
      </c>
      <c r="D31" s="8" t="n">
        <v>22000</v>
      </c>
      <c r="E31" t="inlineStr">
        <is>
          <t>EUR</t>
        </is>
      </c>
      <c r="F31" t="n" s="7">
        <f>IF(E31="EUR",ROUND(D31*Assumptions!$B$8,2),D31)</f>
        <v>23922.8</v>
      </c>
      <c r="G31" t="inlineStr">
        <is>
          <t>Excluded from consolidated Q3 revenue</t>
        </is>
      </c>
      <c r="H31" t="inlineStr">
        <is>
          <t>vesper_culinary_brands_brand_ledger.csv</t>
        </is>
      </c>
    </row>
    <row r="32">
      <c r="A32" s="5" t="inlineStr">
        <is>
          <t>Source authority summary</t>
        </is>
      </c>
    </row>
    <row r="33">
      <c r="A33" t="inlineStr">
        <is>
          <t>50/92 ownership method</t>
        </is>
      </c>
      <c r="H33" t="inlineStr">
        <is>
          <t>kiln_spice_acquisition_memo.txt</t>
        </is>
      </c>
    </row>
    <row r="34">
      <c r="A34" t="inlineStr">
        <is>
          <t>EUR/USD board close rate</t>
        </is>
      </c>
      <c r="H34" t="inlineStr">
        <is>
          <t>brine_barrel_fx_and_period_reference.txt</t>
        </is>
      </c>
    </row>
    <row r="35">
      <c r="A35" t="inlineStr">
        <is>
          <t>Status / period treatment</t>
        </is>
      </c>
      <c r="H35" t="inlineStr">
        <is>
          <t>vesper_culinary_brands_brand_ledger.csv; brine_barrel_fx_and_period_reference.txt</t>
        </is>
      </c>
    </row>
    <row r="36">
      <c r="A36" t="inlineStr">
        <is>
          <t>Approval evidence in supplied packet</t>
        </is>
      </c>
      <c r="H36" t="inlineStr">
        <is>
          <t>Approval evidence in supplied packet: not present</t>
        </is>
      </c>
    </row>
    <row r="37">
      <c r="A37" t="inlineStr">
        <is>
          <t>Ownership Date Evidence Status</t>
        </is>
      </c>
      <c r="H37" t="inlineStr">
        <is>
          <t>Open - supporting records not provided</t>
        </is>
      </c>
    </row>
    <row r="38">
      <c r="A38" t="inlineStr">
        <is>
          <t>Post-Close Billing Support</t>
        </is>
      </c>
      <c r="H38" t="inlineStr">
        <is>
          <t>Open follow-up - shipment/service evidence not provided</t>
        </is>
      </c>
    </row>
  </sheetData>
  <mergeCells count="3">
    <mergeCell ref="A21:H21"/>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4"/>
  <sheetViews>
    <sheetView workbookViewId="0">
      <pane ySplit="5" topLeftCell="A6" activePane="bottomLeft" state="frozen"/>
      <selection pane="bottomLeft" activeCell="A1" sqref="A1"/>
    </sheetView>
  </sheetViews>
  <sheetFormatPr baseColWidth="8" defaultRowHeight="15"/>
  <cols>
    <col width="48" customWidth="1" min="1" max="1"/>
    <col width="52" customWidth="1" min="2" max="2"/>
    <col width="42" customWidth="1" min="3" max="3"/>
  </cols>
  <sheetData>
    <row r="1">
      <c r="A1" s="1" t="inlineStr">
        <is>
          <t>Vesper Culinary Brands — Consolidated Net Revenue Review</t>
        </is>
      </c>
      <c r="B1" s="2" t="n"/>
      <c r="C1" s="2" t="n"/>
    </row>
    <row r="2">
      <c r="A2" s="3" t="inlineStr">
        <is>
          <t>Q3 2025 (July 1, 2025 – September 30, 2025)</t>
        </is>
      </c>
      <c r="B2" s="2" t="n"/>
      <c r="C2" s="2" t="n"/>
    </row>
    <row r="3">
      <c r="A3" s="4" t="inlineStr">
        <is>
          <t>Sheet: Notes | Analysis as of Q3 2025 close (early October 2025)</t>
        </is>
      </c>
    </row>
    <row r="5">
      <c r="A5" s="5" t="inlineStr">
        <is>
          <t>Open Follow-Up Items</t>
        </is>
      </c>
    </row>
    <row r="6">
      <c r="A6" s="5" t="inlineStr">
        <is>
          <t>Item</t>
        </is>
      </c>
      <c r="B6" s="5" t="inlineStr">
        <is>
          <t>Status</t>
        </is>
      </c>
      <c r="C6" s="5" t="inlineStr">
        <is>
          <t>Evidence needed</t>
        </is>
      </c>
    </row>
    <row r="7">
      <c r="A7" t="inlineStr">
        <is>
          <t>Kiln ownership date</t>
        </is>
      </c>
      <c r="B7" t="inlineStr">
        <is>
          <t>Open follow-up</t>
        </is>
      </c>
      <c r="C7" t="inlineStr">
        <is>
          <t>Schedule 2.1 and bank wire confirmation</t>
        </is>
      </c>
    </row>
    <row r="8">
      <c r="A8" t="inlineStr">
        <is>
          <t>Post-close billings</t>
        </is>
      </c>
      <c r="B8" t="inlineStr">
        <is>
          <t>Open follow-up</t>
        </is>
      </c>
      <c r="C8" t="inlineStr">
        <is>
          <t>Shipment/service support</t>
        </is>
      </c>
    </row>
    <row r="10">
      <c r="A10" s="5" t="inlineStr">
        <is>
          <t>Ownership-date support</t>
        </is>
      </c>
    </row>
    <row r="11" ht="48" customHeight="1">
      <c r="A11" s="12" t="inlineStr">
        <is>
          <t>The August 12, 2025 Kiln ownership date is used for the current analysis based on the acquisition memo, but confirmation against Schedule 2.1 and the bank wire confirmation remains outstanding because those records are not included in the supplied packet.</t>
        </is>
      </c>
    </row>
    <row r="12">
      <c r="A12" s="5" t="inlineStr">
        <is>
          <t>Post-close billing support</t>
        </is>
      </c>
    </row>
    <row r="13" ht="48" customHeight="1">
      <c r="A13" s="12" t="inlineStr">
        <is>
          <t>Post-close Kiln billings should be tied to shipment or service evidence where practical; the underlying supporting records are not included in the supplied packet, so this remains an open follow-up item.</t>
        </is>
      </c>
    </row>
    <row r="15">
      <c r="A15" s="5" t="inlineStr">
        <is>
          <t>Kiln ownership methods and judgment</t>
        </is>
      </c>
    </row>
    <row r="17" ht="78" customHeight="1">
      <c r="A17" s="12" t="inlineStr">
        <is>
          <t>kiln_spice_acquisition_memo.txt establishes the permitted Q3 ownership treatment, including the 50/92 proration method used as the selected final board method. A transaction-date ownership cutoff (eligible Kiln rows on or after 2025-08-12 after status/period exclusions) is memo-supported only as a conditional alternative. Approval evidence is not present in the supplied packet. The August 12 ownership date is the modeling basis from the memo; independent confirmation against Schedule 2.1 and the bank wire confirmation remains an open follow-up. Do not mix methods or apply proration on top of an already ownership-cutoff sum.</t>
        </is>
      </c>
    </row>
    <row r="19">
      <c r="A19" t="inlineStr">
        <is>
          <t>Selected final method (board)</t>
        </is>
      </c>
      <c r="B19" t="str">
        <f>Assumptions!B13</f>
        <v>50/92 proration</v>
      </c>
    </row>
    <row r="20">
      <c r="A20" t="inlineStr">
        <is>
          <t>Kiln consolidated USD — selected final</t>
        </is>
      </c>
      <c r="B20" t="n" s="7">
        <f>Brand_Rollup!E8</f>
        <v>339572.04</v>
      </c>
    </row>
    <row r="21">
      <c r="A21" t="inlineStr">
        <is>
          <t>Consolidated total USD — selected final</t>
        </is>
      </c>
      <c r="B21" t="n" s="7">
        <f>Brand_Rollup!E10</f>
        <v>1549396.63</v>
      </c>
    </row>
    <row r="22">
      <c r="A22" t="inlineStr">
        <is>
          <t>Approval evidence in supplied packet</t>
        </is>
      </c>
      <c r="B22" t="str">
        <f>Assumptions!B22</f>
        <v>Approval evidence in supplied packet: not present</v>
      </c>
    </row>
    <row r="23">
      <c r="A23" t="inlineStr">
        <is>
          <t>Modeling basis (Kiln ownership date)</t>
        </is>
      </c>
      <c r="B23" t="str">
        <f>Assumptions!B24</f>
        <v>August 12, 2025 — per acquisition memo</v>
      </c>
    </row>
    <row r="24">
      <c r="A24" t="inlineStr">
        <is>
          <t>Ownership Date Evidence Status</t>
        </is>
      </c>
      <c r="B24" t="str">
        <f>Assumptions!B25</f>
        <v>Open - supporting records not provided</v>
      </c>
    </row>
    <row r="25">
      <c r="A25" t="inlineStr">
        <is>
          <t>Post-Close Billing Support</t>
        </is>
      </c>
      <c r="B25" t="str">
        <f>Assumptions!B27</f>
        <v>Open follow-up - shipment/service evidence not provided</v>
      </c>
    </row>
    <row r="27">
      <c r="A27" s="5" t="inlineStr">
        <is>
          <t>50/92 method (Case 1 — selected final)</t>
        </is>
      </c>
    </row>
    <row r="28" ht="54" customHeight="1">
      <c r="A28" s="12" t="inlineStr">
        <is>
          <t>Sum status/period-eligible Kiln rows for the full Q3 window, then multiply by the 50/92 proration factor. Governing source: kiln_spice_acquisition_memo.txt. This workbook uses 50/92 as the selected final board method. Ownership-date supporting evidence remains an open diligence item and does not change the selected method.</t>
        </is>
      </c>
    </row>
    <row r="29">
      <c r="A29" t="inlineStr">
        <is>
          <t>Case 1 Kiln USD</t>
        </is>
      </c>
      <c r="B29" t="n" s="7">
        <f>Brand_Rollup!B22</f>
        <v>339572.04</v>
      </c>
    </row>
    <row r="30">
      <c r="A30" t="inlineStr">
        <is>
          <t>Case 1 consolidated total USD</t>
        </is>
      </c>
      <c r="B30" t="n" s="7">
        <f>Brand_Rollup!B23</f>
        <v>1549396.63</v>
      </c>
    </row>
    <row r="32">
      <c r="A32" s="5" t="inlineStr">
        <is>
          <t>Transaction-date method (Case 2 — conditional)</t>
        </is>
      </c>
    </row>
    <row r="33" ht="54" customHeight="1">
      <c r="A33" s="12" t="inlineStr">
        <is>
          <t>After status/period exclusions, include only Kiln rows dated on or after the close date 2025-08-12. Do not apply 50/92 on top of that ownership-cutoff sum. Conditional transaction-date cutoff scenario — approval evidence not present in packet. Approval evidence in supplied packet: not present. The Case 2 amounts below are analytical only and are not the unqualified final board figure.</t>
        </is>
      </c>
    </row>
    <row r="34">
      <c r="A34" t="inlineStr">
        <is>
          <t>Case 2 Kiln USD (conditional)</t>
        </is>
      </c>
      <c r="B34" t="n" s="7">
        <f>Brand_Rollup!C22</f>
        <v>424609.7</v>
      </c>
    </row>
    <row r="35">
      <c r="A35" t="inlineStr">
        <is>
          <t>Case 2 consolidated total USD (conditional)</t>
        </is>
      </c>
      <c r="B35" t="n" s="7">
        <f>Brand_Rollup!C23</f>
        <v>1634434.29</v>
      </c>
    </row>
    <row r="36">
      <c r="A36" t="inlineStr">
        <is>
          <t>Case 2 label</t>
        </is>
      </c>
      <c r="B36" t="str">
        <f>Assumptions!B23</f>
        <v>Conditional transaction-date cutoff scenario — approval evidence not present in packet</v>
      </c>
    </row>
    <row r="38">
      <c r="A38" s="5" t="inlineStr">
        <is>
          <t>Board reporting note</t>
        </is>
      </c>
    </row>
    <row r="39" ht="78" customHeight="1">
      <c r="A39" t="str" s="12">
        <f>"Board reporting note: As of the Q3 2025 close in early October 2025, Q3 2025 consolidated net revenue is reported at "&amp;TEXT(Brand_Rollup!E10,"$#,##0.00")&amp;". Brine &amp; Barrel EU revenue is translated at the governing EUR/USD rate of "&amp;TEXT(Assumptions!B8,"0.0000")&amp;" using sum-then-round treatment. Kiln Spice Works is included using the "&amp;Assumptions!B13&amp;" ownership method under kiln_spice_acquisition_memo.txt. "&amp;Assumptions!B22&amp;" Ownership-date and post-close billing support remain open follow-ups."</f>
        <v>Board reporting note: As of the Q3 2025 close in early October 2025, Q3 2025 consolidated net revenue is reported at $1,549,396.63. Brine &amp; Barrel EU revenue is translated at the governing EUR/USD rate of 1.0874 using sum-then-round treatment. Kiln Spice Works is included using the 50/92 proration ownership method under kiln_spice_acquisition_memo.txt. Approval evidence in supplied packet: not present Ownership-date and post-close billing support remain open follow-ups.</v>
      </c>
    </row>
    <row r="41">
      <c r="A41" s="5" t="inlineStr">
        <is>
          <t>Cited sources</t>
        </is>
      </c>
    </row>
    <row r="42">
      <c r="A42" t="inlineStr">
        <is>
          <t>vesper_culinary_brands_brand_ledger.csv</t>
        </is>
      </c>
    </row>
    <row r="43">
      <c r="A43" t="inlineStr">
        <is>
          <t>brine_barrel_fx_and_period_reference.txt</t>
        </is>
      </c>
    </row>
    <row r="44">
      <c r="A44" t="inlineStr">
        <is>
          <t>kiln_spice_acquisition_memo.txt</t>
        </is>
      </c>
    </row>
  </sheetData>
  <mergeCells count="6">
    <mergeCell ref="A28:C28"/>
    <mergeCell ref="A33:C33"/>
    <mergeCell ref="A13:C13"/>
    <mergeCell ref="A11:C11"/>
    <mergeCell ref="A17:C17"/>
    <mergeCell ref="A39:C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pane ySplit="5" topLeftCell="A6" activePane="bottomLeft" state="frozen"/>
      <selection pane="bottomLeft" activeCell="A1" sqref="A1"/>
    </sheetView>
  </sheetViews>
  <sheetFormatPr baseColWidth="8" defaultRowHeight="15"/>
  <cols>
    <col width="52" customWidth="1" min="1" max="1"/>
    <col width="72" customWidth="1" min="2" max="2"/>
  </cols>
  <sheetData>
    <row r="1">
      <c r="A1" s="1" t="inlineStr">
        <is>
          <t>Vesper Culinary Brands — Consolidated Net Revenue Review</t>
        </is>
      </c>
      <c r="B1" s="2" t="n"/>
    </row>
    <row r="2">
      <c r="A2" s="3" t="inlineStr">
        <is>
          <t>Q3 2025 (July 1, 2025 – September 30, 2025)</t>
        </is>
      </c>
      <c r="B2" s="2" t="n"/>
    </row>
    <row r="3">
      <c r="A3" s="4" t="inlineStr">
        <is>
          <t>Sheet: Recommendation | Analysis as of Q3 2025 close (early October 2025)</t>
        </is>
      </c>
    </row>
    <row r="5">
      <c r="A5" s="5" t="inlineStr">
        <is>
          <t>Board recommendation</t>
        </is>
      </c>
    </row>
    <row r="7">
      <c r="A7" t="inlineStr">
        <is>
          <t>Consolidated Q3 2025 net revenue — selected final (USD)</t>
        </is>
      </c>
      <c r="B7" t="n" s="7">
        <f>Brand_Rollup!E10</f>
        <v>1549396.63</v>
      </c>
    </row>
    <row r="8">
      <c r="A8" t="inlineStr">
        <is>
          <t>Selected final Kiln ownership method</t>
        </is>
      </c>
      <c r="B8" t="str">
        <f>Assumptions!B13</f>
        <v>50/92 proration</v>
      </c>
    </row>
    <row r="9">
      <c r="A9" t="inlineStr">
        <is>
          <t>Approval evidence in supplied packet</t>
        </is>
      </c>
      <c r="B9" t="str">
        <f>Assumptions!B22</f>
        <v>Approval evidence in supplied packet: not present</v>
      </c>
    </row>
    <row r="10">
      <c r="A10" t="inlineStr">
        <is>
          <t>Conditional cutoff total (not final board figure)</t>
        </is>
      </c>
      <c r="B10" t="n" s="7">
        <f>Brand_Rollup!C23</f>
        <v>1634434.29</v>
      </c>
    </row>
    <row r="11">
      <c r="A11" t="inlineStr">
        <is>
          <t>Conditional cutoff label</t>
        </is>
      </c>
      <c r="B11" t="str">
        <f>Assumptions!B23</f>
        <v>Conditional transaction-date cutoff scenario — approval evidence not present in packet</v>
      </c>
    </row>
    <row r="12">
      <c r="A12" t="inlineStr">
        <is>
          <t>Ownership Date Evidence Status</t>
        </is>
      </c>
      <c r="B12" t="str">
        <f>Assumptions!B25</f>
        <v>Open - supporting records not provided</v>
      </c>
    </row>
    <row r="13">
      <c r="A13" t="inlineStr">
        <is>
          <t>Post-Close Billing Support</t>
        </is>
      </c>
      <c r="B13" t="str">
        <f>Assumptions!B27</f>
        <v>Open follow-up - shipment/service evidence not provided</v>
      </c>
    </row>
    <row r="15">
      <c r="A15" s="5" t="inlineStr">
        <is>
          <t>Board reporting note</t>
        </is>
      </c>
    </row>
    <row r="16" ht="78" customHeight="1">
      <c r="A16" t="str" s="12">
        <f>"Board reporting note: As of the Q3 2025 close in early October 2025, Q3 2025 consolidated net revenue is reported at "&amp;TEXT(Brand_Rollup!E10,"$#,##0.00")&amp;". Brine &amp; Barrel EU revenue is translated at the governing EUR/USD rate of "&amp;TEXT(Assumptions!B8,"0.0000")&amp;" using sum-then-round treatment. Kiln Spice Works is included using the "&amp;Assumptions!B13&amp;" ownership method under kiln_spice_acquisition_memo.txt. "&amp;Assumptions!B22&amp;" Ownership-date and post-close billing support remain open follow-ups."</f>
        <v>Board reporting note: As of the Q3 2025 close in early October 2025, Q3 2025 consolidated net revenue is reported at $1,549,396.63. Brine &amp; Barrel EU revenue is translated at the governing EUR/USD rate of 1.0874 using sum-then-round treatment. Kiln Spice Works is included using the 50/92 proration ownership method under kiln_spice_acquisition_memo.txt. Approval evidence in supplied packet: not present Ownership-date and post-close billing support remain open follow-ups.</v>
      </c>
    </row>
    <row r="18">
      <c r="A18" s="5" t="inlineStr">
        <is>
          <t>Recommendation text</t>
        </is>
      </c>
    </row>
    <row r="19" ht="130" customHeight="1">
      <c r="A19" s="12" t="inlineStr">
        <is>
          <t>As of the Q3 2025 close in early October 2025, use the brand-level rollup selected-final consolidated total for the board packet. Apply status, period, and ownership filters from the governing sources before rolling revenue. Brine &amp; Barrel EU is converted at 1.0874 USD per EUR per brine_barrel_fx_and_period_reference.txt (not the 1.1025 spot aside), using sum-then-round treatment. Kiln Spice Works follows kiln_spice_acquisition_memo.txt: 50/92 proration of post-exclusion full-quarter Kiln gross is the selected final board method. A transaction-date cutoff from 2025-08-12 is shown only as a Conditional transaction-date cutoff scenario — Approval evidence in supplied packet: not present — and is not the unqualified final consolidated revenue. Ownership-date confirmation against Schedule 2.1 and bank wire confirmation, and post-close billing shipment/service tie-out, remain open follow-ups because those records are not in the packet. Do not adopt the sales-ops full-quarter Kiln note, do not mix ownership methods, and do not treat void or cancelled rows as Q3 revenue.</t>
        </is>
      </c>
    </row>
  </sheetData>
  <mergeCells count="2">
    <mergeCell ref="A19:B19"/>
    <mergeCell ref="A16:B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2026-09-08T08:31:25Z</dcterms:created>
  <dcterms:modified xsi:type="dcterms:W3CDTF">2026-09-08T08:31:25Z</dcterms:modified>
</cp:coreProperties>
</file>