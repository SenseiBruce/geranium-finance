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hort Build" sheetId="2" state="visible" r:id="rId2"/>
    <sheet name="Revenue Forecast" sheetId="3" state="visible" r:id="rId3"/>
    <sheet name="DCF Build" sheetId="4" state="visible" r:id="rId4"/>
    <sheet name="Cap Table Pro Forma" sheetId="5" state="visible" r:id="rId5"/>
    <sheet name="Valuation Summary" sheetId="6" state="visible" r:id="rId6"/>
    <sheet name="Sensitivity" sheetId="7" state="visible" r:id="rId7"/>
    <sheet name="Option pool cases" sheetId="8" state="visible" r:id="rId8"/>
    <sheet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&quot;$&quot;#,##0.0000"/>
    <numFmt numFmtId="167" formatCode="0.0&quot;x&quot;"/>
    <numFmt numFmtId="168" formatCode="0.0"/>
    <numFmt numFmtId="169" formatCode="0.0000"/>
    <numFmt numFmtId="170" formatCode="0.0000%"/>
    <numFmt numFmtId="171" formatCode="0.0%"/>
  </numFmts>
  <fonts count="8">
    <font>
      <name val="Calibri"/>
      <family val="2"/>
      <color theme="1"/>
      <sz val="11"/>
      <scheme val="minor"/>
    </font>
    <font>
      <b val="1"/>
      <color rgb="001F1F1F"/>
    </font>
    <font>
      <color rgb="000000FF"/>
    </font>
    <font>
      <color rgb="00006600"/>
    </font>
    <font>
      <color rgb="00000000"/>
    </font>
    <font>
      <b val="1"/>
      <color rgb="001F1F1F"/>
      <sz val="12"/>
    </font>
    <font>
      <i val="1"/>
    </font>
    <font>
      <b val="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164" fontId="2" fillId="2" borderId="0" pivotButton="0" quotePrefix="0" xfId="0"/>
    <xf numFmtId="165" fontId="3" fillId="3" borderId="0" pivotButton="0" quotePrefix="0" xfId="0"/>
    <xf numFmtId="166" fontId="4" fillId="4" borderId="0" pivotButton="0" quotePrefix="0" xfId="0"/>
    <xf numFmtId="3" fontId="2" fillId="2" borderId="0" pivotButton="0" quotePrefix="0" xfId="0"/>
    <xf numFmtId="3" fontId="4" fillId="4" borderId="0" pivotButton="0" quotePrefix="0" xfId="0"/>
    <xf numFmtId="165" fontId="2" fillId="2" borderId="0" pivotButton="0" quotePrefix="0" xfId="0"/>
    <xf numFmtId="3" fontId="3" fillId="3" borderId="0" pivotButton="0" quotePrefix="0" xfId="0"/>
    <xf numFmtId="9" fontId="2" fillId="2" borderId="0" pivotButton="0" quotePrefix="0" xfId="0"/>
    <xf numFmtId="0" fontId="0" fillId="0" borderId="0" applyAlignment="1" pivotButton="0" quotePrefix="0" xfId="0">
      <alignment vertical="top" wrapText="1"/>
    </xf>
    <xf numFmtId="167" fontId="2" fillId="2" borderId="0" pivotButton="0" quotePrefix="0" xfId="0"/>
    <xf numFmtId="2" fontId="2" fillId="2" borderId="0" pivotButton="0" quotePrefix="0" xfId="0"/>
    <xf numFmtId="0" fontId="5" fillId="5" borderId="0" applyAlignment="1" pivotButton="0" quotePrefix="0" xfId="0">
      <alignment vertical="center"/>
    </xf>
    <xf numFmtId="0" fontId="2" fillId="2" borderId="0" pivotButton="0" quotePrefix="0" xfId="0"/>
    <xf numFmtId="0" fontId="4" fillId="4" borderId="0" pivotButton="0" quotePrefix="0" xfId="0"/>
    <xf numFmtId="0" fontId="3" fillId="3" borderId="0" pivotButton="0" quotePrefix="0" xfId="0"/>
    <xf numFmtId="0" fontId="1" fillId="6" borderId="1" applyAlignment="1" pivotButton="0" quotePrefix="0" xfId="0">
      <alignment vertical="center" wrapText="1"/>
    </xf>
    <xf numFmtId="168" fontId="2" fillId="2" borderId="0" pivotButton="0" quotePrefix="0" xfId="0"/>
    <xf numFmtId="165" fontId="4" fillId="4" borderId="0" pivotButton="0" quotePrefix="0" xfId="0"/>
    <xf numFmtId="165" fontId="0" fillId="0" borderId="0" pivotButton="0" quotePrefix="0" xfId="0"/>
    <xf numFmtId="9" fontId="3" fillId="3" borderId="0" pivotButton="0" quotePrefix="0" xfId="0"/>
    <xf numFmtId="10" fontId="0" fillId="0" borderId="0" pivotButton="0" quotePrefix="0" xfId="0"/>
    <xf numFmtId="169" fontId="0" fillId="0" borderId="0" pivotButton="0" quotePrefix="0" xfId="0"/>
    <xf numFmtId="0" fontId="0" fillId="0" borderId="1" pivotButton="0" quotePrefix="0" xfId="0"/>
    <xf numFmtId="3" fontId="2" fillId="2" borderId="1" pivotButton="0" quotePrefix="0" xfId="0"/>
    <xf numFmtId="3" fontId="4" fillId="4" borderId="1" pivotButton="0" quotePrefix="0" xfId="0"/>
    <xf numFmtId="170" fontId="4" fillId="4" borderId="1" pivotButton="0" quotePrefix="0" xfId="0"/>
    <xf numFmtId="0" fontId="0" fillId="0" borderId="1" applyAlignment="1" pivotButton="0" quotePrefix="0" xfId="0">
      <alignment vertical="top" wrapText="1"/>
    </xf>
    <xf numFmtId="3" fontId="3" fillId="3" borderId="1" pivotButton="0" quotePrefix="0" xfId="0"/>
    <xf numFmtId="0" fontId="1" fillId="7" borderId="1" pivotButton="0" quotePrefix="0" xfId="0"/>
    <xf numFmtId="0" fontId="0" fillId="7" borderId="1" pivotButton="0" quotePrefix="0" xfId="0"/>
    <xf numFmtId="10" fontId="4" fillId="4" borderId="1" pivotButton="0" quotePrefix="0" xfId="0"/>
    <xf numFmtId="170" fontId="4" fillId="4" borderId="0" pivotButton="0" quotePrefix="0" xfId="0"/>
    <xf numFmtId="2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0" fontId="6" fillId="0" borderId="0" pivotButton="0" quotePrefix="0" xfId="0"/>
    <xf numFmtId="9" fontId="1" fillId="0" borderId="0" pivotButton="0" quotePrefix="0" xfId="0"/>
    <xf numFmtId="165" fontId="7" fillId="0" borderId="0" pivotButton="0" quotePrefix="0" xfId="0"/>
    <xf numFmtId="171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8" customWidth="1" min="2" max="2"/>
  </cols>
  <sheetData>
    <row r="1">
      <c r="A1" s="1" t="inlineStr">
        <is>
          <t>Helix Biotech — Series B model inputs</t>
        </is>
      </c>
      <c r="B1" s="1" t="inlineStr">
        <is>
          <t>Value</t>
        </is>
      </c>
    </row>
    <row r="2"/>
    <row r="3">
      <c r="A3" t="inlineStr">
        <is>
          <t>Pre-money valuation</t>
        </is>
      </c>
      <c r="B3" s="2" t="n">
        <v>112000000</v>
      </c>
    </row>
    <row r="4">
      <c r="A4" t="inlineStr">
        <is>
          <t>Primary proceeds (total)</t>
        </is>
      </c>
      <c r="B4" s="2" t="n">
        <v>28000000</v>
      </c>
    </row>
    <row r="5">
      <c r="A5" t="inlineStr">
        <is>
          <t>Post-money (before pool refresh)</t>
        </is>
      </c>
      <c r="B5" s="2" t="n">
        <v>140000000</v>
      </c>
    </row>
    <row r="6">
      <c r="A6" t="inlineStr">
        <is>
          <t>Calendar-quarter TTM rollup (2024-Q1:Q4)</t>
        </is>
      </c>
      <c r="B6" t="n" s="3">
        <f>'Cohort Build'!B23</f>
        <v>40359060.4</v>
      </c>
    </row>
    <row r="7">
      <c r="A7" t="inlineStr">
        <is>
          <t>Pending renewal excluded (Apex Diagnostics)</t>
        </is>
      </c>
      <c r="B7" s="2" t="n">
        <v>2252680</v>
      </c>
    </row>
    <row r="8">
      <c r="A8" t="inlineStr">
        <is>
          <t>Model ARR (TTM, normalized per Footnote 1)</t>
        </is>
      </c>
      <c r="B8" t="n" s="3">
        <f>'Cohort Build'!B24</f>
        <v>38106380.4</v>
      </c>
    </row>
    <row r="9">
      <c r="A9" t="inlineStr">
        <is>
          <t>Model NTM ARR (Y1 / 28% growth per Footnote 3)</t>
        </is>
      </c>
      <c r="B9" t="n" s="3">
        <f>'Revenue Forecast'!C3</f>
        <v>48776166.91</v>
      </c>
    </row>
    <row r="10">
      <c r="A10" t="inlineStr">
        <is>
          <t>Brief headline run-rate (not used for model)</t>
        </is>
      </c>
      <c r="B10" s="2" t="n">
        <v>42100000</v>
      </c>
    </row>
    <row r="11">
      <c r="A11" t="inlineStr">
        <is>
          <t>Series B price per share</t>
        </is>
      </c>
      <c r="B11" t="n" s="4">
        <f>B3/B12</f>
        <v>6.6565</v>
      </c>
    </row>
    <row r="12">
      <c r="A12" t="inlineStr">
        <is>
          <t>FD shares pre-money (cap_table.csv total)</t>
        </is>
      </c>
      <c r="B12" s="5" t="n">
        <v>16825600</v>
      </c>
    </row>
    <row r="13">
      <c r="A13" t="inlineStr">
        <is>
          <t>FD shares mid (pre-pool refresh)</t>
        </is>
      </c>
      <c r="B13" t="n" s="6">
        <f>B12+B19+B20+B21+B22</f>
        <v>22502116</v>
      </c>
    </row>
    <row r="14">
      <c r="A14" t="inlineStr">
        <is>
          <t>Founders/employees FD subtotal (cap_table.csv)</t>
        </is>
      </c>
      <c r="B14" s="5" t="n">
        <v>10325600</v>
      </c>
    </row>
    <row r="15">
      <c r="A15" t="inlineStr">
        <is>
          <t>Forsyth Equity Series A shares</t>
        </is>
      </c>
      <c r="B15" s="5" t="n">
        <v>6500000</v>
      </c>
    </row>
    <row r="16">
      <c r="A16" t="inlineStr">
        <is>
          <t>Forsyth Equity Series A price</t>
        </is>
      </c>
      <c r="B16" s="7" t="n">
        <v>1.82</v>
      </c>
    </row>
    <row r="17">
      <c r="A17" t="inlineStr">
        <is>
          <t>Vesper Growth SAFE invested</t>
        </is>
      </c>
      <c r="B17" s="2" t="n">
        <v>2500000</v>
      </c>
    </row>
    <row r="18">
      <c r="A18" t="inlineStr">
        <is>
          <t>Quorum Ventures SAFE invested</t>
        </is>
      </c>
      <c r="B18" s="2" t="n">
        <v>1750000</v>
      </c>
    </row>
    <row r="19">
      <c r="A19" t="inlineStr">
        <is>
          <t>Vesper Growth SAFE conversion shares</t>
        </is>
      </c>
      <c r="B19" t="n" s="6">
        <f>ROUND(B17/B43,0)</f>
        <v>934756</v>
      </c>
    </row>
    <row r="20">
      <c r="A20" t="inlineStr">
        <is>
          <t>Quorum Ventures SAFE conversion shares</t>
        </is>
      </c>
      <c r="B20" t="n" s="6">
        <f>ROUND(B18/(55000000/B12),0)</f>
        <v>535360</v>
      </c>
    </row>
    <row r="21">
      <c r="A21" t="inlineStr">
        <is>
          <t>Forsyth Equity Series B pro-rata shares</t>
        </is>
      </c>
      <c r="B21" t="n" s="6">
        <f>ROUND((B4*B15/B12)/B11,0)</f>
        <v>1625000</v>
      </c>
    </row>
    <row r="22">
      <c r="A22" t="inlineStr">
        <is>
          <t>Octavian Capital Series B lead shares</t>
        </is>
      </c>
      <c r="B22" t="n" s="6">
        <f>ROUND((B4-B4*B15/B12)/B11,0)</f>
        <v>2581400</v>
      </c>
    </row>
    <row r="23">
      <c r="A23" t="inlineStr">
        <is>
          <t>Existing stock-plan option pool (allocated Options rows)</t>
        </is>
      </c>
      <c r="B23" s="5" t="n">
        <v>1942000</v>
      </c>
    </row>
    <row r="24">
      <c r="A24" t="inlineStr">
        <is>
          <t>Option pool refresh shares (15% board case)</t>
        </is>
      </c>
      <c r="B24" t="n" s="8">
        <f>'Option pool cases'!D3</f>
        <v>1686256</v>
      </c>
    </row>
    <row r="25">
      <c r="A25" t="inlineStr">
        <is>
          <t>Option pool refresh shares (12% counsel case)</t>
        </is>
      </c>
      <c r="B25" t="n" s="8">
        <f>'Option pool cases'!D2</f>
        <v>861652</v>
      </c>
    </row>
    <row r="26">
      <c r="A26" t="inlineStr">
        <is>
          <t>Post-money option pool target</t>
        </is>
      </c>
      <c r="B26" s="9" t="n">
        <v>0.15</v>
      </c>
    </row>
    <row r="27">
      <c r="A27" t="inlineStr">
        <is>
          <t>Counsel side-letter pool reference</t>
        </is>
      </c>
      <c r="B27" s="9" t="n">
        <v>0.12</v>
      </c>
    </row>
    <row r="28" ht="45" customHeight="1">
      <c r="A28" t="inlineStr">
        <is>
          <t>Vesper Growth MFN clause</t>
        </is>
      </c>
      <c r="B28" s="10" t="inlineStr">
        <is>
          <t>Outstanding / unresolved per cap_table.csv and investor_brief.txt; no separately confirmed alternative MFN term in the source materials</t>
        </is>
      </c>
    </row>
    <row r="29" ht="60" customHeight="1">
      <c r="A29" t="inlineStr">
        <is>
          <t>Vesper Growth conversion treatment</t>
        </is>
      </c>
      <c r="B29" s="10" t="inlineStr">
        <is>
          <t>Vesper Growth SAFE is modeled at the valuation-cap price for the base case because the $45.0M cap price is below the 20%-discounted Series B price. The MFN remains an outstanding diligence item and is not treated as cleared.</t>
        </is>
      </c>
    </row>
    <row r="30">
      <c r="A30" t="inlineStr">
        <is>
          <t>FCF margin (Footnote 3)</t>
        </is>
      </c>
      <c r="B30" s="9" t="n">
        <v>0.22</v>
      </c>
    </row>
    <row r="31">
      <c r="A31" t="inlineStr">
        <is>
          <t>NTM multiple — low</t>
        </is>
      </c>
      <c r="B31" s="11" t="n">
        <v>5.5</v>
      </c>
    </row>
    <row r="32">
      <c r="A32" t="inlineStr">
        <is>
          <t>NTM multiple — high</t>
        </is>
      </c>
      <c r="B32" s="11" t="n">
        <v>7</v>
      </c>
    </row>
    <row r="33">
      <c r="A33" t="inlineStr">
        <is>
          <t>TTM downside multiple</t>
        </is>
      </c>
      <c r="B33" s="11" t="n">
        <v>5</v>
      </c>
    </row>
    <row r="34">
      <c r="A34" t="inlineStr">
        <is>
          <t>Peer median NTM multiple (sensitivity)</t>
        </is>
      </c>
      <c r="B34" s="11" t="n">
        <v>6.1</v>
      </c>
    </row>
    <row r="35">
      <c r="A35" t="inlineStr">
        <is>
          <t>Trailing cohort NRR diagnostic (not stacked onto Footnote 3 total growth)</t>
        </is>
      </c>
      <c r="B35" s="12" t="n">
        <v>1.08</v>
      </c>
    </row>
    <row r="36">
      <c r="A36" t="inlineStr">
        <is>
          <t>DCF WACC low (high-EV case)</t>
        </is>
      </c>
      <c r="B36" s="9" t="n">
        <v>0.14</v>
      </c>
    </row>
    <row r="37">
      <c r="A37" t="inlineStr">
        <is>
          <t>DCF WACC high (low-EV case)</t>
        </is>
      </c>
      <c r="B37" s="9" t="n">
        <v>0.16</v>
      </c>
    </row>
    <row r="38">
      <c r="A38" t="inlineStr">
        <is>
          <t>Terminal growth</t>
        </is>
      </c>
      <c r="B38" s="9" t="n">
        <v>0.03</v>
      </c>
    </row>
    <row r="39">
      <c r="A39" t="inlineStr">
        <is>
          <t>Y1 total ARR growth (Footnote 3 — total path, not additive to absolute NRR)</t>
        </is>
      </c>
      <c r="B39" s="9" t="n">
        <v>0.28</v>
      </c>
    </row>
    <row r="40">
      <c r="A40" t="inlineStr">
        <is>
          <t>Post-money FD shares (15% pool case)</t>
        </is>
      </c>
      <c r="B40" t="n" s="8">
        <f>'Option pool cases'!E3</f>
        <v>24188372</v>
      </c>
    </row>
    <row r="41">
      <c r="A41" t="inlineStr">
        <is>
          <t>Vesper Growth valuation-cap price</t>
        </is>
      </c>
      <c r="B41" t="n" s="4">
        <f>45000000/B12</f>
        <v>2.6745</v>
      </c>
    </row>
    <row r="42">
      <c r="A42" t="inlineStr">
        <is>
          <t>Vesper Growth discounted Series B price</t>
        </is>
      </c>
      <c r="B42" t="n" s="4">
        <f>B11*(1-0.2)</f>
        <v>5.3252</v>
      </c>
    </row>
    <row r="43">
      <c r="A43" t="inlineStr">
        <is>
          <t>Vesper Growth applicable conversion price (lower of cap vs discount)</t>
        </is>
      </c>
      <c r="B43" t="n" s="4">
        <f>MIN(B41,B42)</f>
        <v>2.6745</v>
      </c>
    </row>
    <row r="44">
      <c r="A44" t="inlineStr">
        <is>
          <t>Existing stock-plan option pool (excludes advisor warrant)</t>
        </is>
      </c>
      <c r="B44" t="n" s="6">
        <f>B23</f>
        <v>1942000</v>
      </c>
    </row>
    <row r="45">
      <c r="A45" t="inlineStr">
        <is>
          <t>Dr. Elena Ruiz unexercised advisor warrant (FD, not pool)</t>
        </is>
      </c>
      <c r="B45" s="5" t="n">
        <v>43000</v>
      </c>
    </row>
    <row r="46">
      <c r="A46" t="inlineStr">
        <is>
          <t>Forecast retention stress scalar (1.00 = base Footnote 3 path; not absolute NRR)</t>
        </is>
      </c>
      <c r="B46" s="12" t="n">
        <v>1</v>
      </c>
    </row>
    <row r="47" ht="48" customHeight="1">
      <c r="A47" t="inlineStr">
        <is>
          <t>Ending-ARR definition (Cohort Build)</t>
        </is>
      </c>
      <c r="B47" s="10" t="inlineStr">
        <is>
          <t>ending_arr = starting_arr × gross_retention_pct/100 + expansion_arr − churn_arr; gross_retention_pct is starting ARR retained before expansion and churn (cohort_summary.xlsx Definitions) — churn is applied once via −churn_arr</t>
        </is>
      </c>
    </row>
    <row r="48"/>
    <row r="49">
      <c r="A49" s="13" t="inlineStr">
        <is>
          <t>Formatting legend</t>
        </is>
      </c>
    </row>
    <row r="50">
      <c r="A50" t="inlineStr">
        <is>
          <t>Blue fill / blue font</t>
        </is>
      </c>
      <c r="B50" s="14" t="inlineStr">
        <is>
          <t>Hardcoded source inputs (transaction terms, caps, rates, share bases)</t>
        </is>
      </c>
    </row>
    <row r="51">
      <c r="A51" t="inlineStr">
        <is>
          <t>Yellow fill / black font</t>
        </is>
      </c>
      <c r="B51" s="15" t="inlineStr">
        <is>
          <t>Local calculated formulas (prices, conversion shares, ownership math)</t>
        </is>
      </c>
    </row>
    <row r="52">
      <c r="A52" t="inlineStr">
        <is>
          <t>Green fill / green font</t>
        </is>
      </c>
      <c r="B52" s="16" t="inlineStr">
        <is>
          <t>Cross-sheet links (cohort ARR, forecast, option-pool cases)</t>
        </is>
      </c>
    </row>
    <row r="53" ht="36" customHeight="1">
      <c r="A53" t="inlineStr">
        <is>
          <t>Whole-share policy</t>
        </is>
      </c>
      <c r="B53" s="10" t="inlineStr">
        <is>
          <t>SAFE conversion shares, Series B primary shares, and option-pool refresh shares use ROUND(...,0) so issued share counts are whole numbers before FD ownership.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21" customWidth="1" min="4" max="4"/>
    <col width="15" customWidth="1" min="5" max="5"/>
    <col width="12" customWidth="1" min="6" max="6"/>
    <col width="22" customWidth="1" min="7" max="7"/>
    <col width="14" customWidth="1" min="8" max="8"/>
    <col width="56" customWidth="1" min="9" max="9"/>
    <col width="64" customWidth="1" min="10" max="10"/>
  </cols>
  <sheetData>
    <row r="1">
      <c r="A1" s="17" t="inlineStr">
        <is>
          <t>cohort_vintage</t>
        </is>
      </c>
      <c r="B1" s="17" t="inlineStr">
        <is>
          <t>calendar_quarter</t>
        </is>
      </c>
      <c r="C1" s="17" t="inlineStr">
        <is>
          <t>starting_arr</t>
        </is>
      </c>
      <c r="D1" s="17" t="inlineStr">
        <is>
          <t>gross_retention_pct</t>
        </is>
      </c>
      <c r="E1" s="17" t="inlineStr">
        <is>
          <t>expansion_arr</t>
        </is>
      </c>
      <c r="F1" s="17" t="inlineStr">
        <is>
          <t>churn_arr</t>
        </is>
      </c>
      <c r="G1" s="17" t="inlineStr">
        <is>
          <t>ending_arr</t>
        </is>
      </c>
      <c r="H1" s="17" t="inlineStr">
        <is>
          <t>include_flag</t>
        </is>
      </c>
      <c r="I1" s="17" t="inlineStr">
        <is>
          <t>exclusion_reason</t>
        </is>
      </c>
      <c r="J1" s="17" t="inlineStr">
        <is>
          <t>source_notes</t>
        </is>
      </c>
    </row>
    <row r="2">
      <c r="A2" t="inlineStr">
        <is>
          <t>FY2023-Q3</t>
        </is>
      </c>
      <c r="B2" t="inlineStr">
        <is>
          <t>2024-Q1</t>
        </is>
      </c>
      <c r="C2" s="7" t="n">
        <v>3827400</v>
      </c>
      <c r="D2" s="18" t="n">
        <v>95.4</v>
      </c>
      <c r="E2" s="7" t="n">
        <v>198700</v>
      </c>
      <c r="F2" s="7" t="n">
        <v>61300</v>
      </c>
      <c r="G2" t="n" s="19">
        <f>C2*D2/100+E2-F2</f>
        <v>3788739.6</v>
      </c>
      <c r="H2" s="14" t="n">
        <v>1</v>
      </c>
      <c r="I2" s="10" t="inlineStr">
        <is>
          <t>RETAINED — unique 2024 calendar-quarter cohort record</t>
        </is>
      </c>
      <c r="J2" s="10" t="inlineStr">
        <is>
          <t>cohort_summary.xlsx Cohort Detail</t>
        </is>
      </c>
    </row>
    <row r="3">
      <c r="A3" t="inlineStr">
        <is>
          <t>FY2023-Q4</t>
        </is>
      </c>
      <c r="B3" t="inlineStr">
        <is>
          <t>2024-Q1</t>
        </is>
      </c>
      <c r="C3" s="7" t="n">
        <v>4218600</v>
      </c>
      <c r="D3" s="18" t="n">
        <v>95.7</v>
      </c>
      <c r="E3" s="7" t="n">
        <v>246800</v>
      </c>
      <c r="F3" s="7" t="n">
        <v>55900</v>
      </c>
      <c r="G3" t="n" s="19">
        <f>C3*D3/100+E3-F3</f>
        <v>4228100.2</v>
      </c>
      <c r="H3" s="14" t="n">
        <v>1</v>
      </c>
      <c r="I3" s="10" t="inlineStr">
        <is>
          <t>RETAINED — unique 2024 calendar-quarter cohort record</t>
        </is>
      </c>
      <c r="J3" s="10" t="inlineStr">
        <is>
          <t>cohort_summary.xlsx Cohort Detail</t>
        </is>
      </c>
    </row>
    <row r="4">
      <c r="A4" t="inlineStr">
        <is>
          <t>FY2023-Q4</t>
        </is>
      </c>
      <c r="B4" t="inlineStr">
        <is>
          <t>2024-Q2</t>
        </is>
      </c>
      <c r="C4" s="7" t="n">
        <v>4409300</v>
      </c>
      <c r="D4" s="18" t="n">
        <v>94.8</v>
      </c>
      <c r="E4" s="7" t="n">
        <v>231400</v>
      </c>
      <c r="F4" s="7" t="n">
        <v>72600</v>
      </c>
      <c r="G4" t="n" s="19">
        <f>C4*D4/100+E4-F4</f>
        <v>4338816.4</v>
      </c>
      <c r="H4" s="14" t="n">
        <v>1</v>
      </c>
      <c r="I4" s="10" t="inlineStr">
        <is>
          <t>RETAINED — unique 2024 calendar-quarter cohort record</t>
        </is>
      </c>
      <c r="J4" s="10" t="inlineStr">
        <is>
          <t>cohort_summary.xlsx Cohort Detail</t>
        </is>
      </c>
    </row>
    <row r="5">
      <c r="A5" t="inlineStr">
        <is>
          <t>FY2024-Q1</t>
        </is>
      </c>
      <c r="B5" t="inlineStr">
        <is>
          <t>2024-Q2</t>
        </is>
      </c>
      <c r="C5" s="7" t="n">
        <v>4886200</v>
      </c>
      <c r="D5" s="18" t="n">
        <v>96.3</v>
      </c>
      <c r="E5" s="7" t="n">
        <v>284700</v>
      </c>
      <c r="F5" s="7" t="n">
        <v>48500</v>
      </c>
      <c r="G5" t="n" s="19">
        <f>C5*D5/100+E5-F5</f>
        <v>4941610.6</v>
      </c>
      <c r="H5" s="14" t="n">
        <v>1</v>
      </c>
      <c r="I5" s="10" t="inlineStr">
        <is>
          <t>RETAINED — unique 2024 calendar-quarter cohort record</t>
        </is>
      </c>
      <c r="J5" s="10" t="inlineStr">
        <is>
          <t>cohort_summary.xlsx Cohort Detail</t>
        </is>
      </c>
    </row>
    <row r="6">
      <c r="A6" t="inlineStr">
        <is>
          <t>FY2024-Q1</t>
        </is>
      </c>
      <c r="B6" t="inlineStr">
        <is>
          <t>2024-Q3</t>
        </is>
      </c>
      <c r="C6" s="7" t="n">
        <v>5122600</v>
      </c>
      <c r="D6" s="18" t="n">
        <v>95.9</v>
      </c>
      <c r="E6" s="7" t="n">
        <v>256400</v>
      </c>
      <c r="F6" s="7" t="n">
        <v>63800</v>
      </c>
      <c r="G6" t="n" s="19">
        <f>C6*D6/100+E6-F6</f>
        <v>5105173.4</v>
      </c>
      <c r="H6" s="14" t="n">
        <v>1</v>
      </c>
      <c r="I6" s="10" t="inlineStr">
        <is>
          <t>RETAINED — unique 2024 calendar-quarter cohort record</t>
        </is>
      </c>
      <c r="J6" s="10" t="inlineStr">
        <is>
          <t>cohort_summary.xlsx Cohort Detail</t>
        </is>
      </c>
    </row>
    <row r="7">
      <c r="A7" t="inlineStr">
        <is>
          <t>FY2024-Q2</t>
        </is>
      </c>
      <c r="B7" t="inlineStr">
        <is>
          <t>2024-Q3</t>
        </is>
      </c>
      <c r="C7" s="7" t="n">
        <v>5684300</v>
      </c>
      <c r="D7" s="18" t="n">
        <v>95.2</v>
      </c>
      <c r="E7" s="7" t="n">
        <v>312900</v>
      </c>
      <c r="F7" s="7" t="n">
        <v>81400</v>
      </c>
      <c r="G7" t="n" s="19">
        <f>C7*D7/100+E7-F7</f>
        <v>5642953.6</v>
      </c>
      <c r="H7" s="14" t="n">
        <v>1</v>
      </c>
      <c r="I7" s="10" t="inlineStr">
        <is>
          <t>RETAINED — unique 2024 calendar-quarter cohort record</t>
        </is>
      </c>
      <c r="J7" s="10" t="inlineStr">
        <is>
          <t>cohort_summary.xlsx Cohort Detail</t>
        </is>
      </c>
    </row>
    <row r="8">
      <c r="A8" t="inlineStr">
        <is>
          <t>FY2024-Q2</t>
        </is>
      </c>
      <c r="B8" t="inlineStr">
        <is>
          <t>2024-Q4</t>
        </is>
      </c>
      <c r="C8" s="7" t="n">
        <v>5915800</v>
      </c>
      <c r="D8" s="18" t="n">
        <v>94.7</v>
      </c>
      <c r="E8" s="7" t="n">
        <v>298600</v>
      </c>
      <c r="F8" s="7" t="n">
        <v>94200</v>
      </c>
      <c r="G8" t="n" s="19">
        <f>C8*D8/100+E8-F8</f>
        <v>5806662.6</v>
      </c>
      <c r="H8" s="14" t="n">
        <v>1</v>
      </c>
      <c r="I8" s="10" t="inlineStr">
        <is>
          <t>RETAINED — unique 2024 calendar-quarter cohort record</t>
        </is>
      </c>
      <c r="J8" s="10" t="inlineStr">
        <is>
          <t>cohort_summary.xlsx Cohort Detail</t>
        </is>
      </c>
    </row>
    <row r="9">
      <c r="A9" t="inlineStr">
        <is>
          <t>FY2024-Q3</t>
        </is>
      </c>
      <c r="B9" t="inlineStr">
        <is>
          <t>2024-Q4</t>
        </is>
      </c>
      <c r="C9" s="7" t="n">
        <v>6482400</v>
      </c>
      <c r="D9" s="18" t="n">
        <v>96</v>
      </c>
      <c r="E9" s="7" t="n">
        <v>341200</v>
      </c>
      <c r="F9" s="7" t="n">
        <v>57300</v>
      </c>
      <c r="G9" t="n" s="19">
        <f>C9*D9/100+E9-F9</f>
        <v>6507004</v>
      </c>
      <c r="H9" s="14" t="n">
        <v>1</v>
      </c>
      <c r="I9" s="10" t="inlineStr">
        <is>
          <t>RETAINED — unique 2024 calendar-quarter cohort record</t>
        </is>
      </c>
      <c r="J9" s="10" t="inlineStr">
        <is>
          <t>Includes Apex Diagnostics pending enterprise renewal $2,252,680 ARR — contract out for signature, expected 2024-12-18</t>
        </is>
      </c>
    </row>
    <row r="10">
      <c r="A10" t="inlineStr">
        <is>
          <t>FY2023-Q2</t>
        </is>
      </c>
      <c r="B10" t="inlineStr">
        <is>
          <t>2023-Q4</t>
        </is>
      </c>
      <c r="C10" s="7" t="n">
        <v>3252700</v>
      </c>
      <c r="D10" s="18" t="n">
        <v>95.3</v>
      </c>
      <c r="E10" s="7" t="n">
        <v>178600</v>
      </c>
      <c r="F10" s="7" t="n">
        <v>0</v>
      </c>
      <c r="G10" t="n" s="19">
        <f>C10*D10/100+E10-F10</f>
        <v>3278423.1</v>
      </c>
      <c r="H10" s="14" t="n">
        <v>0</v>
      </c>
      <c r="I10" s="10" t="inlineStr">
        <is>
          <t>EXCLUDED — duplicate FY2023-Q2 expansion already captured on prior line</t>
        </is>
      </c>
      <c r="J10" s="10" t="inlineStr">
        <is>
          <t>DUPLICATE ROW — expansion already captured on prior line</t>
        </is>
      </c>
    </row>
    <row r="11"/>
    <row r="12">
      <c r="A12" s="1" t="inlineStr">
        <is>
          <t>Inventory control</t>
        </is>
      </c>
    </row>
    <row r="13">
      <c r="A13" t="inlineStr">
        <is>
          <t>raw_source_rows_in_inventory</t>
        </is>
      </c>
      <c r="B13" t="n">
        <f>COUNTA(A2:A10)</f>
        <v>9</v>
      </c>
    </row>
    <row r="14">
      <c r="A14" t="inlineStr">
        <is>
          <t>excluded_duplicate_rows</t>
        </is>
      </c>
      <c r="B14" t="n">
        <f>COUNTIF(H2:H10,0)</f>
        <v>1</v>
      </c>
    </row>
    <row r="15">
      <c r="A15" t="inlineStr">
        <is>
          <t>retained_rows_for_normalized_ARR</t>
        </is>
      </c>
      <c r="B15" t="n">
        <f>SUM(H2:H10)</f>
        <v>8</v>
      </c>
    </row>
    <row r="16" ht="36" customHeight="1">
      <c r="A16" t="inlineStr">
        <is>
          <t>retention_formula</t>
        </is>
      </c>
      <c r="B16" s="10" t="inlineStr">
        <is>
          <t>ending_arr = starting×gross_retention%/100 + expansion − churn (gross_retention is before expansion/churn; churn counted once)</t>
        </is>
      </c>
    </row>
    <row r="17"/>
    <row r="18">
      <c r="A18" s="17" t="inlineStr">
        <is>
          <t>calendar_quarter</t>
        </is>
      </c>
      <c r="B18" s="17" t="inlineStr">
        <is>
          <t>rollup_arr_from_retained_rows</t>
        </is>
      </c>
      <c r="C18" s="17" t="inlineStr">
        <is>
          <t>source</t>
        </is>
      </c>
    </row>
    <row r="19">
      <c r="A19" t="inlineStr">
        <is>
          <t>2024-Q1</t>
        </is>
      </c>
      <c r="B19" t="n" s="20">
        <f>SUMIFS(G$2:G$10,B$2:B$10,A19,H$2:H$10,1)</f>
        <v>8016839.8</v>
      </c>
      <c r="C19" t="inlineStr">
        <is>
          <t>SUMIFS of retained Cohort Detail ending_arr (reconciles to Quarterly Rollup)</t>
        </is>
      </c>
    </row>
    <row r="20">
      <c r="A20" t="inlineStr">
        <is>
          <t>2024-Q2</t>
        </is>
      </c>
      <c r="B20" t="n" s="20">
        <f>SUMIFS(G$2:G$10,B$2:B$10,A20,H$2:H$10,1)</f>
        <v>9280427</v>
      </c>
      <c r="C20" t="inlineStr">
        <is>
          <t>SUMIFS of retained Cohort Detail ending_arr (reconciles to Quarterly Rollup)</t>
        </is>
      </c>
    </row>
    <row r="21">
      <c r="A21" t="inlineStr">
        <is>
          <t>2024-Q3</t>
        </is>
      </c>
      <c r="B21" t="n" s="20">
        <f>SUMIFS(G$2:G$10,B$2:B$10,A21,H$2:H$10,1)</f>
        <v>10748127</v>
      </c>
      <c r="C21" t="inlineStr">
        <is>
          <t>SUMIFS of retained Cohort Detail ending_arr (reconciles to Quarterly Rollup)</t>
        </is>
      </c>
    </row>
    <row r="22">
      <c r="A22" t="inlineStr">
        <is>
          <t>2024-Q4</t>
        </is>
      </c>
      <c r="B22" t="n" s="20">
        <f>SUMIFS(G$2:G$10,B$2:B$10,A22,H$2:H$10,1)</f>
        <v>12313666.6</v>
      </c>
      <c r="C22" t="inlineStr">
        <is>
          <t>SUMIFS of retained Cohort Detail ending_arr (reconciles to Quarterly Rollup)</t>
        </is>
      </c>
    </row>
    <row r="23">
      <c r="A23" t="inlineStr">
        <is>
          <t>TTM rollup sum (2024 quarters)</t>
        </is>
      </c>
      <c r="B23" t="n" s="20">
        <f>SUM(B19:B22)</f>
        <v>40359060.4</v>
      </c>
    </row>
    <row r="24">
      <c r="A24" t="inlineStr">
        <is>
          <t>Normalized model ARR (ex pending renewal)</t>
        </is>
      </c>
      <c r="B24" t="n" s="20">
        <f>B23-Assumptions!B7</f>
        <v>38106380.4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28" customWidth="1" min="3" max="3"/>
    <col width="18" customWidth="1" min="4" max="4"/>
    <col width="16" customWidth="1" min="5" max="5"/>
    <col width="48" customWidth="1" min="6" max="6"/>
  </cols>
  <sheetData>
    <row r="1">
      <c r="A1" s="17" t="inlineStr">
        <is>
          <t>Year</t>
        </is>
      </c>
      <c r="B1" s="17" t="inlineStr">
        <is>
          <t>Growth rate (total ARR path)</t>
        </is>
      </c>
      <c r="C1" s="17" t="inlineStr">
        <is>
          <t>ARR</t>
        </is>
      </c>
      <c r="D1" s="17" t="inlineStr">
        <is>
          <t>FCF margin</t>
        </is>
      </c>
      <c r="E1" s="17" t="inlineStr">
        <is>
          <t>Free cash flow</t>
        </is>
      </c>
      <c r="F1" s="17" t="inlineStr">
        <is>
          <t>Driver notes</t>
        </is>
      </c>
    </row>
    <row r="2">
      <c r="A2" t="inlineStr">
        <is>
          <t>Base (normalized TTM)</t>
        </is>
      </c>
      <c r="B2" s="9" t="n">
        <v>0</v>
      </c>
      <c r="C2" t="n" s="3">
        <f>Assumptions!B8</f>
        <v>38106380.4</v>
      </c>
      <c r="D2" t="n" s="21">
        <f>Assumptions!B30</f>
        <v>0.22</v>
      </c>
      <c r="E2" t="n" s="19">
        <f>C2*D2</f>
        <v>8383403.69</v>
      </c>
      <c r="F2" s="10" t="inlineStr">
        <is>
          <t>From Cohort Build normalized TTM (formula-linked)</t>
        </is>
      </c>
    </row>
    <row r="3">
      <c r="A3" t="inlineStr">
        <is>
          <t>Y1</t>
        </is>
      </c>
      <c r="B3" t="n" s="21">
        <f>Assumptions!B39</f>
        <v>0.28</v>
      </c>
      <c r="C3" t="n" s="3">
        <f>C2*Assumptions!B46*(1+B3)</f>
        <v>48776166.91</v>
      </c>
      <c r="D3" t="n" s="21">
        <f>Assumptions!B30</f>
        <v>0.22</v>
      </c>
      <c r="E3" t="n" s="19">
        <f>C3*D3</f>
        <v>10730756.72</v>
      </c>
      <c r="F3" s="10" t="inlineStr">
        <is>
          <t>Normalized TTM × retention stress scalar (Assumptions!B46, base 1.00) × (1 + Y1 total ARR growth). Absolute NRR is not re-applied.</t>
        </is>
      </c>
    </row>
    <row r="4">
      <c r="A4" t="inlineStr">
        <is>
          <t>Y2</t>
        </is>
      </c>
      <c r="B4" s="9" t="n">
        <v>0.24</v>
      </c>
      <c r="C4" t="n" s="19">
        <f>C3*(1+B4)</f>
        <v>60482446.97</v>
      </c>
      <c r="D4" t="n" s="21">
        <f>Assumptions!B30</f>
        <v>0.22</v>
      </c>
      <c r="E4" t="n" s="19">
        <f>C4*D4</f>
        <v>13306138.33</v>
      </c>
      <c r="F4" s="10" t="inlineStr">
        <is>
          <t>Footnote 3 forward path on prior-year ARR</t>
        </is>
      </c>
    </row>
    <row r="5">
      <c r="A5" t="inlineStr">
        <is>
          <t>Y3</t>
        </is>
      </c>
      <c r="B5" s="9" t="n">
        <v>0.2</v>
      </c>
      <c r="C5" t="n" s="19">
        <f>C4*(1+B5)</f>
        <v>72578936.37</v>
      </c>
      <c r="D5" t="n" s="21">
        <f>Assumptions!B30</f>
        <v>0.22</v>
      </c>
      <c r="E5" t="n" s="19">
        <f>C5*D5</f>
        <v>15967366</v>
      </c>
      <c r="F5" s="10" t="inlineStr">
        <is>
          <t>Footnote 3 forward path on prior-year ARR</t>
        </is>
      </c>
    </row>
    <row r="6">
      <c r="A6" t="inlineStr">
        <is>
          <t>Y4</t>
        </is>
      </c>
      <c r="B6" s="9" t="n">
        <v>0.16</v>
      </c>
      <c r="C6" t="n" s="19">
        <f>C5*(1+B6)</f>
        <v>84191566.18</v>
      </c>
      <c r="D6" t="n" s="21">
        <f>Assumptions!B30</f>
        <v>0.22</v>
      </c>
      <c r="E6" t="n" s="19">
        <f>C6*D6</f>
        <v>18522144.56</v>
      </c>
      <c r="F6" s="10" t="inlineStr">
        <is>
          <t>Footnote 3 forward path on prior-year ARR</t>
        </is>
      </c>
    </row>
    <row r="7">
      <c r="A7" t="inlineStr">
        <is>
          <t>Y5</t>
        </is>
      </c>
      <c r="B7" s="9" t="n">
        <v>0.14</v>
      </c>
      <c r="C7" t="n" s="19">
        <f>C6*(1+B7)</f>
        <v>95978385.45</v>
      </c>
      <c r="D7" t="n" s="21">
        <f>Assumptions!B30</f>
        <v>0.22</v>
      </c>
      <c r="E7" t="n" s="19">
        <f>C7*D7</f>
        <v>21115244.8</v>
      </c>
      <c r="F7" s="10" t="inlineStr">
        <is>
          <t>Footnote 3 forward path on prior-year ARR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2" customWidth="1" min="8" max="8"/>
    <col width="19" customWidth="1" min="9" max="9"/>
    <col width="18" customWidth="1" min="10" max="10"/>
  </cols>
  <sheetData>
    <row r="1">
      <c r="A1" s="17" t="inlineStr">
        <is>
          <t>year</t>
        </is>
      </c>
      <c r="B1" s="17" t="inlineStr">
        <is>
          <t>arr</t>
        </is>
      </c>
      <c r="C1" s="17" t="inlineStr">
        <is>
          <t>fcf</t>
        </is>
      </c>
      <c r="D1" s="17" t="inlineStr">
        <is>
          <t>df_14pct</t>
        </is>
      </c>
      <c r="E1" s="17" t="inlineStr">
        <is>
          <t>pv_14pct</t>
        </is>
      </c>
      <c r="F1" s="17" t="inlineStr">
        <is>
          <t>df_16pct</t>
        </is>
      </c>
      <c r="G1" s="17" t="inlineStr">
        <is>
          <t>pv_16pct</t>
        </is>
      </c>
      <c r="I1" t="inlineStr">
        <is>
          <t>WACC high-EV case</t>
        </is>
      </c>
      <c r="J1" t="n" s="22">
        <f>Assumptions!B36</f>
        <v>0.14</v>
      </c>
    </row>
    <row r="2">
      <c r="A2" t="n">
        <v>1</v>
      </c>
      <c r="B2" t="n" s="20">
        <f>'Revenue Forecast'!C3</f>
        <v>48776166.91</v>
      </c>
      <c r="C2" t="n" s="20">
        <f>B2*$J$3</f>
        <v>10730756.72</v>
      </c>
      <c r="D2" t="n" s="23">
        <f>1/(1+$J$1)^A2</f>
        <v>0.87719298</v>
      </c>
      <c r="E2" t="n" s="20">
        <f>C2*D2</f>
        <v>9412944.49</v>
      </c>
      <c r="F2" t="n" s="23">
        <f>1/(1+$J$2)^A2</f>
        <v>0.86206897</v>
      </c>
      <c r="G2" t="n" s="20">
        <f>C2*F2</f>
        <v>9250652.35</v>
      </c>
      <c r="I2" t="inlineStr">
        <is>
          <t>WACC low-EV case</t>
        </is>
      </c>
      <c r="J2" t="n" s="22">
        <f>Assumptions!B37</f>
        <v>0.16</v>
      </c>
    </row>
    <row r="3">
      <c r="A3" t="n">
        <v>2</v>
      </c>
      <c r="B3" t="n" s="20">
        <f>'Revenue Forecast'!C4</f>
        <v>60482446.97</v>
      </c>
      <c r="C3" t="n" s="20">
        <f>B3*$J$3</f>
        <v>13306138.33</v>
      </c>
      <c r="D3" t="n" s="23">
        <f>1/(1+$J$1)^A3</f>
        <v>0.76946753</v>
      </c>
      <c r="E3" t="n" s="20">
        <f>C3*D3</f>
        <v>10238641.38</v>
      </c>
      <c r="F3" t="n" s="23">
        <f>1/(1+$J$2)^A3</f>
        <v>0.7431629</v>
      </c>
      <c r="G3" t="n" s="20">
        <f>C3*F3</f>
        <v>9888628.37</v>
      </c>
      <c r="I3" t="inlineStr">
        <is>
          <t>FCF margin</t>
        </is>
      </c>
      <c r="J3" t="n" s="22">
        <f>Assumptions!B30</f>
        <v>0.22</v>
      </c>
    </row>
    <row r="4">
      <c r="A4" t="n">
        <v>3</v>
      </c>
      <c r="B4" t="n" s="20">
        <f>'Revenue Forecast'!C5</f>
        <v>72578936.37</v>
      </c>
      <c r="C4" t="n" s="20">
        <f>B4*$J$3</f>
        <v>15967366</v>
      </c>
      <c r="D4" t="n" s="23">
        <f>1/(1+$J$1)^A4</f>
        <v>0.67497152</v>
      </c>
      <c r="E4" t="n" s="20">
        <f>C4*D4</f>
        <v>10777517.24</v>
      </c>
      <c r="F4" t="n" s="23">
        <f>1/(1+$J$2)^A4</f>
        <v>0.64065767</v>
      </c>
      <c r="G4" t="n" s="20">
        <f>C4*F4</f>
        <v>10229615.55</v>
      </c>
      <c r="I4" t="inlineStr">
        <is>
          <t>Terminal growth</t>
        </is>
      </c>
      <c r="J4" t="n" s="22">
        <f>Assumptions!B38</f>
        <v>0.03</v>
      </c>
    </row>
    <row r="5">
      <c r="A5" t="n">
        <v>4</v>
      </c>
      <c r="B5" t="n" s="20">
        <f>'Revenue Forecast'!C6</f>
        <v>84191566.18</v>
      </c>
      <c r="C5" t="n" s="20">
        <f>B5*$J$3</f>
        <v>18522144.56</v>
      </c>
      <c r="D5" t="n" s="23">
        <f>1/(1+$J$1)^A5</f>
        <v>0.59208028</v>
      </c>
      <c r="E5" t="n" s="20">
        <f>C5*D5</f>
        <v>10966596.49</v>
      </c>
      <c r="F5" t="n" s="23">
        <f>1/(1+$J$2)^A5</f>
        <v>0.5522911</v>
      </c>
      <c r="G5" t="n" s="20">
        <f>C5*F5</f>
        <v>10229615.55</v>
      </c>
    </row>
    <row r="6">
      <c r="A6" t="n">
        <v>5</v>
      </c>
      <c r="B6" t="n" s="20">
        <f>'Revenue Forecast'!C7</f>
        <v>95978385.45</v>
      </c>
      <c r="C6" t="n" s="20">
        <f>B6*$J$3</f>
        <v>21115244.8</v>
      </c>
      <c r="D6" t="n" s="23">
        <f>1/(1+$J$1)^A6</f>
        <v>0.51936866</v>
      </c>
      <c r="E6" t="n" s="20">
        <f>C6*D6</f>
        <v>10966596.49</v>
      </c>
      <c r="F6" t="n" s="23">
        <f>1/(1+$J$2)^A6</f>
        <v>0.47611302</v>
      </c>
      <c r="G6" t="n" s="20">
        <f>C6*F6</f>
        <v>10053242.87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0" customWidth="1" min="3" max="3"/>
    <col width="18" customWidth="1" min="4" max="4"/>
    <col width="19" customWidth="1" min="5" max="5"/>
    <col width="25" customWidth="1" min="6" max="6"/>
    <col width="72" customWidth="1" min="7" max="7"/>
  </cols>
  <sheetData>
    <row r="1">
      <c r="A1" s="13" t="inlineStr">
        <is>
          <t>Post-round fully diluted ownership by individual holder</t>
        </is>
      </c>
    </row>
    <row r="2" ht="48" customHeight="1">
      <c r="A2" s="10" t="inlineStr">
        <is>
          <t>Each legal holder from cap_table.csv is listed separately. Option Pool is a pool category (existing stock-plan Options rows + 15% refresh). Forsyth Equity combines Series A Preferred and Series B pro-rata primary. Share issuances use whole-share ROUND formulas from Assumptions.</t>
        </is>
      </c>
    </row>
    <row r="3">
      <c r="A3" s="17" t="inlineStr">
        <is>
          <t>Holder</t>
        </is>
      </c>
      <c r="B3" s="17" t="inlineStr">
        <is>
          <t>Security / Position</t>
        </is>
      </c>
      <c r="C3" s="17" t="inlineStr">
        <is>
          <t>Pre-Round Shares</t>
        </is>
      </c>
      <c r="D3" s="17" t="inlineStr">
        <is>
          <t>New Shares</t>
        </is>
      </c>
      <c r="E3" s="17" t="inlineStr">
        <is>
          <t>Post-Round Shares</t>
        </is>
      </c>
      <c r="F3" s="17" t="inlineStr">
        <is>
          <t>Post-Round FD Ownership</t>
        </is>
      </c>
      <c r="G3" s="17" t="inlineStr">
        <is>
          <t>Source / Notes</t>
        </is>
      </c>
    </row>
    <row r="4" ht="28" customHeight="1">
      <c r="A4" s="24" t="inlineStr">
        <is>
          <t>Jane Okonkwo</t>
        </is>
      </c>
      <c r="B4" s="24" t="inlineStr">
        <is>
          <t>Common</t>
        </is>
      </c>
      <c r="C4" s="25" t="n">
        <v>4200000</v>
      </c>
      <c r="D4" s="25" t="n">
        <v>0</v>
      </c>
      <c r="E4" t="n" s="26">
        <f>C4+D4</f>
        <v>4200000</v>
      </c>
      <c r="F4" t="n" s="27">
        <f>E4/$E$18</f>
        <v>0.17363715</v>
      </c>
      <c r="G4" s="28" t="inlineStr">
        <is>
          <t>cap_table.csv — co-founder CEO</t>
        </is>
      </c>
    </row>
    <row r="5" ht="28" customHeight="1">
      <c r="A5" s="24" t="inlineStr">
        <is>
          <t>Marcus Chen</t>
        </is>
      </c>
      <c r="B5" s="24" t="inlineStr">
        <is>
          <t>Common</t>
        </is>
      </c>
      <c r="C5" s="25" t="n">
        <v>3800000</v>
      </c>
      <c r="D5" s="25" t="n">
        <v>0</v>
      </c>
      <c r="E5" t="n" s="26">
        <f>C5+D5</f>
        <v>3800000</v>
      </c>
      <c r="F5" t="n" s="27">
        <f>E5/$E$18</f>
        <v>0.15710028</v>
      </c>
      <c r="G5" s="28" t="inlineStr">
        <is>
          <t>cap_table.csv — co-founder CTO</t>
        </is>
      </c>
    </row>
    <row r="6" ht="28" customHeight="1">
      <c r="A6" s="24" t="inlineStr">
        <is>
          <t>Employee exercises (YTD)</t>
        </is>
      </c>
      <c r="B6" s="24" t="inlineStr">
        <is>
          <t>Common</t>
        </is>
      </c>
      <c r="C6" s="25" t="n">
        <v>118400</v>
      </c>
      <c r="D6" s="25" t="n">
        <v>0</v>
      </c>
      <c r="E6" t="n" s="26">
        <f>C6+D6</f>
        <v>118400</v>
      </c>
      <c r="F6" t="n" s="27">
        <f>E6/$E$18</f>
        <v>0.00489491</v>
      </c>
      <c r="G6" s="28" t="inlineStr">
        <is>
          <t>cap_table.csv — routine option exercises</t>
        </is>
      </c>
    </row>
    <row r="7" ht="28" customHeight="1">
      <c r="A7" s="24" t="inlineStr">
        <is>
          <t>Treasury shares</t>
        </is>
      </c>
      <c r="B7" s="24" t="inlineStr">
        <is>
          <t>Common</t>
        </is>
      </c>
      <c r="C7" s="25" t="n">
        <v>24000</v>
      </c>
      <c r="D7" s="25" t="n">
        <v>0</v>
      </c>
      <c r="E7" t="n" s="26">
        <f>C7+D7</f>
        <v>24000</v>
      </c>
      <c r="F7" t="n" s="27">
        <f>E7/$E$18</f>
        <v>0.00099221</v>
      </c>
      <c r="G7" s="28" t="inlineStr">
        <is>
          <t>cap_table.csv — repurchase reserve</t>
        </is>
      </c>
    </row>
    <row r="8" ht="28" customHeight="1">
      <c r="A8" s="24" t="inlineStr">
        <is>
          <t>Employee stock purchase</t>
        </is>
      </c>
      <c r="B8" s="24" t="inlineStr">
        <is>
          <t>Common</t>
        </is>
      </c>
      <c r="C8" s="25" t="n">
        <v>48200</v>
      </c>
      <c r="D8" s="25" t="n">
        <v>0</v>
      </c>
      <c r="E8" t="n" s="26">
        <f>C8+D8</f>
        <v>48200</v>
      </c>
      <c r="F8" t="n" s="27">
        <f>E8/$E$18</f>
        <v>0.00199269</v>
      </c>
      <c r="G8" s="28" t="inlineStr">
        <is>
          <t>cap_table.csv — ESPP Q3 2024</t>
        </is>
      </c>
    </row>
    <row r="9" ht="28" customHeight="1">
      <c r="A9" s="24" t="inlineStr">
        <is>
          <t>Dr. Elena Ruiz</t>
        </is>
      </c>
      <c r="B9" s="24" t="inlineStr">
        <is>
          <t>Advisor Warrant (unexercised FD)</t>
        </is>
      </c>
      <c r="C9" s="25" t="n">
        <v>43000</v>
      </c>
      <c r="D9" s="25" t="n">
        <v>0</v>
      </c>
      <c r="E9" t="n" s="26">
        <f>C9+D9</f>
        <v>43000</v>
      </c>
      <c r="F9" t="n" s="27">
        <f>E9/$E$18</f>
        <v>0.00177771</v>
      </c>
      <c r="G9" s="28" t="inlineStr">
        <is>
          <t>cap_table.csv — 43,000 unexercised in FD (42,000 exercised already in Employee exercises YTD)</t>
        </is>
      </c>
    </row>
    <row r="10" ht="28" customHeight="1">
      <c r="A10" s="24" t="inlineStr">
        <is>
          <t>Strategic partner warrant</t>
        </is>
      </c>
      <c r="B10" s="24" t="inlineStr">
        <is>
          <t>Warrant</t>
        </is>
      </c>
      <c r="C10" s="25" t="n">
        <v>150000</v>
      </c>
      <c r="D10" s="25" t="n">
        <v>0</v>
      </c>
      <c r="E10" t="n" s="26">
        <f>C10+D10</f>
        <v>150000</v>
      </c>
      <c r="F10" t="n" s="27">
        <f>E10/$E$18</f>
        <v>0.00620133</v>
      </c>
      <c r="G10" s="28" t="inlineStr">
        <is>
          <t>cap_table.csv — LabCorp partnership</t>
        </is>
      </c>
    </row>
    <row r="11" ht="28" customHeight="1">
      <c r="A11" s="24" t="inlineStr">
        <is>
          <t>Option Pool</t>
        </is>
      </c>
      <c r="B11" s="24" t="inlineStr">
        <is>
          <t>Existing allocated Options (stock plan)</t>
        </is>
      </c>
      <c r="C11" t="n" s="29">
        <f>Assumptions!B23</f>
        <v>1942000</v>
      </c>
      <c r="D11" s="25" t="n">
        <v>0</v>
      </c>
      <c r="E11" t="n" s="26">
        <f>C11+D11</f>
        <v>1942000</v>
      </c>
      <c r="F11" t="n" s="27">
        <f>E11/$E$18</f>
        <v>0.08028651</v>
      </c>
      <c r="G11" s="28" t="inlineStr">
        <is>
          <t>cap_table.csv Options rows (excludes available/empty pool stub; excludes Dr. Elena Ruiz advisor warrant from pool inventory)</t>
        </is>
      </c>
    </row>
    <row r="12" ht="28" customHeight="1">
      <c r="A12" s="24" t="inlineStr">
        <is>
          <t>Forsyth Equity</t>
        </is>
      </c>
      <c r="B12" s="24" t="inlineStr">
        <is>
          <t>Series A Preferred + Series B Pro-Rata</t>
        </is>
      </c>
      <c r="C12" t="n" s="29">
        <f>Assumptions!B15</f>
        <v>6500000</v>
      </c>
      <c r="D12" t="n" s="29">
        <f>Assumptions!B21</f>
        <v>1625000</v>
      </c>
      <c r="E12" t="n" s="26">
        <f>C12+D12</f>
        <v>8125000</v>
      </c>
      <c r="F12" t="n" s="27">
        <f>E12/$E$18</f>
        <v>0.3359052</v>
      </c>
      <c r="G12" s="28" t="inlineStr">
        <is>
          <t>cap_table.csv Series A Preferred at $1.82; investor_brief.txt full pro-rata of $28M primary</t>
        </is>
      </c>
    </row>
    <row r="13" ht="28" customHeight="1">
      <c r="A13" s="24" t="inlineStr">
        <is>
          <t>Vesper Growth</t>
        </is>
      </c>
      <c r="B13" s="24" t="inlineStr">
        <is>
          <t>SAFE conversion (base case; MFN outstanding)</t>
        </is>
      </c>
      <c r="C13" s="25" t="n">
        <v>0</v>
      </c>
      <c r="D13" t="n" s="29">
        <f>Assumptions!B19</f>
        <v>934756</v>
      </c>
      <c r="E13" t="n" s="26">
        <f>C13+D13</f>
        <v>934756</v>
      </c>
      <c r="F13" t="n" s="27">
        <f>E13/$E$18</f>
        <v>0.03864485</v>
      </c>
      <c r="G13" s="28" t="inlineStr">
        <is>
          <t>Whole-share ROUND of invested / applicable conversion price; MFN unresolved per sources</t>
        </is>
      </c>
    </row>
    <row r="14" ht="28" customHeight="1">
      <c r="A14" s="24" t="inlineStr">
        <is>
          <t>Quorum Ventures</t>
        </is>
      </c>
      <c r="B14" s="24" t="inlineStr">
        <is>
          <t>SAFE conversion</t>
        </is>
      </c>
      <c r="C14" s="25" t="n">
        <v>0</v>
      </c>
      <c r="D14" t="n" s="29">
        <f>Assumptions!B20</f>
        <v>535360</v>
      </c>
      <c r="E14" t="n" s="26">
        <f>C14+D14</f>
        <v>535360</v>
      </c>
      <c r="F14" t="n" s="27">
        <f>E14/$E$18</f>
        <v>0.02213295</v>
      </c>
      <c r="G14" s="28" t="inlineStr">
        <is>
          <t>cap_table.csv — $55M cap, no discount; whole-share ROUND</t>
        </is>
      </c>
    </row>
    <row r="15" ht="28" customHeight="1">
      <c r="A15" s="24" t="inlineStr">
        <is>
          <t>Octavian Capital</t>
        </is>
      </c>
      <c r="B15" s="24" t="inlineStr">
        <is>
          <t>Series B Primary (lead)</t>
        </is>
      </c>
      <c r="C15" s="25" t="n">
        <v>0</v>
      </c>
      <c r="D15" t="n" s="29">
        <f>Assumptions!B22</f>
        <v>2581400</v>
      </c>
      <c r="E15" t="n" s="26">
        <f>C15+D15</f>
        <v>2581400</v>
      </c>
      <c r="F15" t="n" s="27">
        <f>E15/$E$18</f>
        <v>0.1067207</v>
      </c>
      <c r="G15" s="28" t="inlineStr">
        <is>
          <t>Remainder of $28M primary after Forsyth pro-rata</t>
        </is>
      </c>
    </row>
    <row r="16" ht="28" customHeight="1">
      <c r="A16" s="24" t="inlineStr">
        <is>
          <t>Option Pool</t>
        </is>
      </c>
      <c r="B16" s="24" t="inlineStr">
        <is>
          <t>15% post-money refresh (board case)</t>
        </is>
      </c>
      <c r="C16" s="25" t="n">
        <v>0</v>
      </c>
      <c r="D16" t="n" s="29">
        <f>Assumptions!B24</f>
        <v>1686256</v>
      </c>
      <c r="E16" t="n" s="26">
        <f>C16+D16</f>
        <v>1686256</v>
      </c>
      <c r="F16" t="n" s="27">
        <f>E16/$E$18</f>
        <v>0.0697135</v>
      </c>
      <c r="G16" s="28" t="inlineStr">
        <is>
          <t>investor_brief.txt 15% target; ROUND whole shares; 12% alternate on Option pool cases</t>
        </is>
      </c>
    </row>
    <row r="17"/>
    <row r="18">
      <c r="A18" s="30" t="inlineStr">
        <is>
          <t>Post-money FD total</t>
        </is>
      </c>
      <c r="B18" s="31" t="n"/>
      <c r="C18" s="31" t="n"/>
      <c r="D18" s="31" t="n"/>
      <c r="E18" t="n" s="26">
        <f>SUM(E4:E16)</f>
        <v>24188372</v>
      </c>
      <c r="F18" t="n" s="32">
        <f>SUM(F4:F16)</f>
        <v>1</v>
      </c>
      <c r="G18" s="31" t="inlineStr">
        <is>
          <t>Must reconcile to Assumptions!B40 / Option pool cases E3</t>
        </is>
      </c>
    </row>
    <row r="19"/>
    <row r="20">
      <c r="A20" s="13" t="inlineStr">
        <is>
          <t>Forsyth Equity — post-round total (callout)</t>
        </is>
      </c>
    </row>
    <row r="21">
      <c r="A21" t="inlineStr">
        <is>
          <t>Forsyth Equity post-round shares</t>
        </is>
      </c>
      <c r="B21" t="n" s="6">
        <f>E12</f>
        <v>8125000</v>
      </c>
      <c r="C21" t="inlineStr">
        <is>
          <t>Series A + Series B pro-rata (formula-linked)</t>
        </is>
      </c>
    </row>
    <row r="22">
      <c r="A22" t="inlineStr">
        <is>
          <t>Forsyth Equity post-round FD ownership</t>
        </is>
      </c>
      <c r="B22" t="n" s="33">
        <f>F12</f>
        <v>0.3359052</v>
      </c>
      <c r="C22" t="inlineStr">
        <is>
          <t>Post-round shares ÷ FD total</t>
        </is>
      </c>
    </row>
  </sheetData>
  <mergeCells count="3">
    <mergeCell ref="A20:C20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5" customWidth="1" min="2" max="2"/>
    <col width="48" customWidth="1" min="3" max="3"/>
  </cols>
  <sheetData>
    <row r="1">
      <c r="A1" s="13" t="inlineStr">
        <is>
          <t>Valuation summary — Helix Biotech Series B</t>
        </is>
      </c>
    </row>
    <row r="2">
      <c r="A2" s="17" t="inlineStr">
        <is>
          <t>Method / metric</t>
        </is>
      </c>
      <c r="B2" s="17" t="inlineStr">
        <is>
          <t>Value</t>
        </is>
      </c>
      <c r="C2" s="17" t="inlineStr">
        <is>
          <t>Basis</t>
        </is>
      </c>
    </row>
    <row r="3">
      <c r="A3" s="13" t="inlineStr">
        <is>
          <t>Revenue basis</t>
        </is>
      </c>
    </row>
    <row r="4">
      <c r="A4" t="inlineStr">
        <is>
          <t>Normalized TTM ARR</t>
        </is>
      </c>
      <c r="B4" t="n" s="3">
        <f>Assumptions!B8</f>
        <v>38106380.4</v>
      </c>
      <c r="C4" s="10" t="inlineStr">
        <is>
          <t>Cohort build after pending-renewal exclusion</t>
        </is>
      </c>
    </row>
    <row r="5">
      <c r="A5" t="inlineStr">
        <is>
          <t>NTM / Y1 ARR (forecast)</t>
        </is>
      </c>
      <c r="B5" t="n" s="3">
        <f>Assumptions!B9</f>
        <v>48776166.91</v>
      </c>
      <c r="C5" s="10" t="inlineStr">
        <is>
          <t>Revenue Forecast Y1 (Footnote 3 growth path)</t>
        </is>
      </c>
    </row>
    <row r="6"/>
    <row r="7">
      <c r="A7" s="13" t="inlineStr">
        <is>
          <t>Revenue-multiple valuation</t>
        </is>
      </c>
    </row>
    <row r="8">
      <c r="A8" t="inlineStr">
        <is>
          <t>Revenue multiple low (5.5x on Y1 NTM ARR)</t>
        </is>
      </c>
      <c r="B8" t="n" s="3">
        <f>Assumptions!B9*Assumptions!B31</f>
        <v>268268918</v>
      </c>
      <c r="C8" s="10" t="inlineStr">
        <is>
          <t>investor_brief.txt comps / Footnote 3</t>
        </is>
      </c>
    </row>
    <row r="9">
      <c r="A9" t="inlineStr">
        <is>
          <t>Revenue multiple high (7.0x on Y1 NTM ARR)</t>
        </is>
      </c>
      <c r="B9" t="n" s="3">
        <f>Assumptions!B9*Assumptions!B32</f>
        <v>341433168.37</v>
      </c>
      <c r="C9" s="10" t="inlineStr">
        <is>
          <t>investor_brief.txt comps / Footnote 3</t>
        </is>
      </c>
    </row>
    <row r="10">
      <c r="A10" t="inlineStr">
        <is>
          <t>Midpoint revenue-multiple valuation</t>
        </is>
      </c>
      <c r="B10" t="n" s="19">
        <f>(B8+B9)/2</f>
        <v>304851043.19</v>
      </c>
      <c r="C10" s="10" t="inlineStr">
        <is>
          <t>Average of 5.5x–7.0x NTM</t>
        </is>
      </c>
    </row>
    <row r="11">
      <c r="A11" t="inlineStr">
        <is>
          <t>Downside EV (5.0x normalized TTM ARR)</t>
        </is>
      </c>
      <c r="B11" t="n" s="3">
        <f>Assumptions!B8*Assumptions!B33</f>
        <v>190531902</v>
      </c>
      <c r="C11" s="10" t="inlineStr">
        <is>
          <t>investor_brief.txt downside</t>
        </is>
      </c>
    </row>
    <row r="12">
      <c r="A12" t="inlineStr">
        <is>
          <t>Peer-median NTM case (6.1x) — sensitivity base</t>
        </is>
      </c>
      <c r="B12" t="n" s="3">
        <f>'Revenue Forecast'!C3*Assumptions!B34</f>
        <v>297534618.15</v>
      </c>
      <c r="C12" s="10" t="inlineStr">
        <is>
          <t>Ties to Sensitivity center cell ($297,534,618.15 base)</t>
        </is>
      </c>
    </row>
    <row r="13"/>
    <row r="14">
      <c r="A14" s="13" t="inlineStr">
        <is>
          <t>DCF valuation</t>
        </is>
      </c>
    </row>
    <row r="15">
      <c r="A15" t="inlineStr">
        <is>
          <t>DCF implied EV high (14% WACC)</t>
        </is>
      </c>
      <c r="B15" t="n" s="3">
        <f>'DCF Build'!E2+'DCF Build'!E3+'DCF Build'!E4+'DCF Build'!E5+'DCF Build'!E6+('DCF Build'!C6*(1+Assumptions!B38)/(Assumptions!B36-Assumptions!B38)/((1+Assumptions!B36)^5))</f>
        <v>155049517.75</v>
      </c>
      <c r="C15" s="10" t="inlineStr">
        <is>
          <t>Five-year FCF + terminal</t>
        </is>
      </c>
    </row>
    <row r="16">
      <c r="A16" t="inlineStr">
        <is>
          <t>DCF implied EV low (16% WACC)</t>
        </is>
      </c>
      <c r="B16" t="n" s="3">
        <f>'DCF Build'!G2+'DCF Build'!G3+'DCF Build'!G4+'DCF Build'!G5+'DCF Build'!G6+('DCF Build'!C6*(1+Assumptions!B38)/(Assumptions!B37-Assumptions!B38)/((1+Assumptions!B37)^5))</f>
        <v>129304371.3</v>
      </c>
      <c r="C16" s="10" t="inlineStr">
        <is>
          <t>Five-year FCF + terminal</t>
        </is>
      </c>
    </row>
    <row r="17">
      <c r="A17" t="inlineStr">
        <is>
          <t>Midpoint DCF-implied valuation</t>
        </is>
      </c>
      <c r="B17" t="n" s="19">
        <f>(B15+B16)/2</f>
        <v>142176944.53</v>
      </c>
      <c r="C17" s="10" t="inlineStr">
        <is>
          <t>Average of 14%–16% WACC</t>
        </is>
      </c>
    </row>
    <row r="18"/>
    <row r="19">
      <c r="A19" s="13" t="inlineStr">
        <is>
          <t>Selected / term-sheet cross-check</t>
        </is>
      </c>
    </row>
    <row r="20">
      <c r="A20" t="inlineStr">
        <is>
          <t>Term sheet pre-money</t>
        </is>
      </c>
      <c r="B20" t="n" s="3">
        <f>Assumptions!B3</f>
        <v>112000000</v>
      </c>
      <c r="C20" s="10" t="inlineStr">
        <is>
          <t>investor_brief.txt — transaction terms</t>
        </is>
      </c>
    </row>
    <row r="21">
      <c r="A21" t="inlineStr">
        <is>
          <t>Implied post-money before pool</t>
        </is>
      </c>
      <c r="B21" t="n" s="3">
        <f>Assumptions!B5</f>
        <v>140000000</v>
      </c>
      <c r="C21" s="10" t="inlineStr">
        <is>
          <t>investor_brief.txt</t>
        </is>
      </c>
    </row>
    <row r="22">
      <c r="A22" t="inlineStr">
        <is>
          <t>Multiple vs DCF midpoint variance</t>
        </is>
      </c>
      <c r="B22" t="n" s="19">
        <f>B10-B17</f>
        <v>162674098.66</v>
      </c>
      <c r="C22" s="10" t="inlineStr">
        <is>
          <t>Reconciliation of midpoint methods</t>
        </is>
      </c>
    </row>
  </sheetData>
  <mergeCells count="5">
    <mergeCell ref="A19:C19"/>
    <mergeCell ref="A1:C1"/>
    <mergeCell ref="A14:C14"/>
    <mergeCell ref="A3:C3"/>
    <mergeCell ref="A7:C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26" customWidth="1" min="4" max="4"/>
    <col width="28" customWidth="1" min="5" max="5"/>
    <col width="22" customWidth="1" min="6" max="6"/>
  </cols>
  <sheetData>
    <row r="1">
      <c r="A1" s="1" t="inlineStr">
        <is>
          <t>Sensitivity — retention stress × Y1 total ARR growth → forecast ARR → peer EV</t>
        </is>
      </c>
    </row>
    <row r="2" ht="72" customHeight="1">
      <c r="A2" s="10" t="inlineStr">
        <is>
          <t>Footnote 3 Y1 growth is TOTAL ARR growth. Retention stress is a multiplicative stress vs the base path (scalar = NRR_case / 1.08; base scalar = 1.00). Absolute trailing NRR is NOT multiplied on top of total growth. Each case uses the same Y1 identity as Revenue Forecast: Normalized TTM × retention_stress × (1+growth). Center case ties to live Revenue Forecast!C3 and Valuation Summary peer-median EV.</t>
        </is>
      </c>
    </row>
    <row r="3">
      <c r="A3" s="1" t="inlineStr">
        <is>
          <t>Live forecast drivers (linked)</t>
        </is>
      </c>
    </row>
    <row r="4">
      <c r="A4" t="inlineStr">
        <is>
          <t>normalized_ttm_arr</t>
        </is>
      </c>
      <c r="B4" t="n" s="20">
        <f>Assumptions!B8</f>
        <v>38106380.4</v>
      </c>
      <c r="C4" t="inlineStr">
        <is>
          <t>retention_stress_scalar_base</t>
        </is>
      </c>
      <c r="D4" t="n" s="34">
        <f>Assumptions!B46</f>
        <v>1</v>
      </c>
      <c r="E4" t="inlineStr">
        <is>
          <t>y1_total_arr_growth</t>
        </is>
      </c>
      <c r="F4" t="n" s="35">
        <f>Assumptions!B39</f>
        <v>0.28</v>
      </c>
    </row>
    <row r="5">
      <c r="A5" t="inlineStr">
        <is>
          <t>trailing_nrr_diagnostic</t>
        </is>
      </c>
      <c r="B5" t="n" s="34">
        <f>Assumptions!B35</f>
        <v>1.08</v>
      </c>
      <c r="C5" t="inlineStr">
        <is>
          <t>peer_median_multiple</t>
        </is>
      </c>
      <c r="D5" t="n" s="36">
        <f>Assumptions!B34</f>
        <v>6.1</v>
      </c>
      <c r="E5" t="inlineStr">
        <is>
          <t>live_y1_arr_(Revenue Forecast)</t>
        </is>
      </c>
      <c r="F5" t="n" s="20">
        <f>'Revenue Forecast'!C3</f>
        <v>48776166.91</v>
      </c>
    </row>
    <row r="6">
      <c r="A6" t="inlineStr">
        <is>
          <t>live_peer_median_EV</t>
        </is>
      </c>
      <c r="B6" t="n" s="20">
        <f>F5*D5</f>
        <v>297534618.15</v>
      </c>
      <c r="C6" t="inlineStr">
        <is>
          <t>valuation_summary_peer_check</t>
        </is>
      </c>
      <c r="D6" t="n" s="20">
        <f>'Valuation Summary'!B12</f>
        <v>297534618.15</v>
      </c>
    </row>
    <row r="7"/>
    <row r="8">
      <c r="A8" s="1" t="inlineStr">
        <is>
          <t>Y1 ARR cases (feeds valuation)</t>
        </is>
      </c>
      <c r="B8" t="inlineStr">
        <is>
          <t>retention_stress = NRR_case / trailing_nrr_diagnostic</t>
        </is>
      </c>
      <c r="C8" s="37" t="inlineStr">
        <is>
          <t>base growth</t>
        </is>
      </c>
    </row>
    <row r="9">
      <c r="A9" s="1" t="inlineStr">
        <is>
          <t>NRR case \ Growth →</t>
        </is>
      </c>
      <c r="B9" s="38" t="n">
        <v>0.22</v>
      </c>
      <c r="C9" s="38" t="n">
        <v>0.28</v>
      </c>
      <c r="D9" s="38" t="n">
        <v>0.34</v>
      </c>
      <c r="E9" s="1" t="inlineStr">
        <is>
          <t>stress</t>
        </is>
      </c>
    </row>
    <row r="10">
      <c r="A10" s="34" t="n">
        <v>1.05</v>
      </c>
      <c r="B10" t="n" s="20">
        <f>$B$4*(A10/$B$5)*(1+B$9)</f>
        <v>45198401.2</v>
      </c>
      <c r="C10" t="n" s="20">
        <f>$B$4*(A10/$B$5)*(1+C$9)</f>
        <v>47421273.39</v>
      </c>
      <c r="D10" t="n" s="20">
        <f>$B$4*(A10/$B$5)*(1+D$9)</f>
        <v>49644145.58</v>
      </c>
      <c r="E10" s="23" t="n">
        <v>0.972222</v>
      </c>
    </row>
    <row r="11">
      <c r="A11" s="34" t="n">
        <v>1.08</v>
      </c>
      <c r="B11" t="n" s="20">
        <f>$B$4*(A11/$B$5)*(1+B$9)</f>
        <v>46489784.09</v>
      </c>
      <c r="C11" t="n" s="39">
        <f>$B$4*(A11/$B$5)*(1+C$9)</f>
        <v>48776166.91</v>
      </c>
      <c r="D11" t="n" s="20">
        <f>$B$4*(A11/$B$5)*(1+D$9)</f>
        <v>51062549.74</v>
      </c>
      <c r="E11" s="23" t="n">
        <v>1</v>
      </c>
      <c r="F11" s="37" t="inlineStr">
        <is>
          <t>base row (stress=1.00)</t>
        </is>
      </c>
    </row>
    <row r="12">
      <c r="A12" s="34" t="n">
        <v>1.11</v>
      </c>
      <c r="B12" t="n" s="20">
        <f>$B$4*(A12/$B$5)*(1+B$9)</f>
        <v>47781166.98</v>
      </c>
      <c r="C12" t="n" s="20">
        <f>$B$4*(A12/$B$5)*(1+C$9)</f>
        <v>50131060.44</v>
      </c>
      <c r="D12" t="n" s="20">
        <f>$B$4*(A12/$B$5)*(1+D$9)</f>
        <v>52480953.9</v>
      </c>
      <c r="E12" s="23" t="n">
        <v>1.027778</v>
      </c>
    </row>
    <row r="13"/>
    <row r="14">
      <c r="A14" s="1" t="inlineStr">
        <is>
          <t>Peer-median EV cases (= Y1 ARR × peer multiple)</t>
        </is>
      </c>
    </row>
    <row r="15">
      <c r="A15" s="1" t="inlineStr">
        <is>
          <t>NRR case \ Growth →</t>
        </is>
      </c>
      <c r="B15" s="38" t="n">
        <v>0.22</v>
      </c>
      <c r="C15" s="38" t="n">
        <v>0.28</v>
      </c>
      <c r="D15" s="38" t="n">
        <v>0.34</v>
      </c>
    </row>
    <row r="16">
      <c r="A16" s="34" t="n">
        <v>1.05</v>
      </c>
      <c r="B16" t="n" s="20">
        <f>B10*$D$5</f>
        <v>275710247.3</v>
      </c>
      <c r="C16" t="n" s="20">
        <f>C10*$D$5</f>
        <v>289269767.66</v>
      </c>
      <c r="D16" t="n" s="20">
        <f>D10*$D$5</f>
        <v>302829288.02</v>
      </c>
    </row>
    <row r="17">
      <c r="A17" s="34" t="n">
        <v>1.08</v>
      </c>
      <c r="B17" t="n" s="20">
        <f>B11*$D$5</f>
        <v>283587682.94</v>
      </c>
      <c r="C17" t="n" s="39">
        <f>C11*$D$5</f>
        <v>297534618.15</v>
      </c>
      <c r="D17" t="n" s="20">
        <f>D11*$D$5</f>
        <v>311481553.39</v>
      </c>
    </row>
    <row r="18">
      <c r="A18" s="34" t="n">
        <v>1.11</v>
      </c>
      <c r="B18" t="n" s="20">
        <f>B12*$D$5</f>
        <v>291465118.57</v>
      </c>
      <c r="C18" t="n" s="20">
        <f>C12*$D$5</f>
        <v>305799468.67</v>
      </c>
      <c r="D18" t="n" s="20">
        <f>D12*$D$5</f>
        <v>320133818.76</v>
      </c>
    </row>
    <row r="19"/>
    <row r="20">
      <c r="A20" s="1" t="inlineStr">
        <is>
          <t>Base-case tie-out</t>
        </is>
      </c>
    </row>
    <row r="21">
      <c r="A21" t="inlineStr">
        <is>
          <t>Base Y1 ARR (matrix)</t>
        </is>
      </c>
      <c r="B21" t="n" s="20">
        <f>C11</f>
        <v>48776166.91</v>
      </c>
      <c r="C21" t="inlineStr">
        <is>
          <t>Live Revenue Forecast Y1</t>
        </is>
      </c>
      <c r="D21" t="n" s="20">
        <f>F5</f>
        <v>48776166.91</v>
      </c>
    </row>
    <row r="22">
      <c r="A22" t="inlineStr">
        <is>
          <t>Base peer EV (matrix)</t>
        </is>
      </c>
      <c r="B22" t="n" s="20">
        <f>C17</f>
        <v>297534618.15</v>
      </c>
      <c r="C22" t="inlineStr">
        <is>
          <t>Live peer EV / Valuation Summary</t>
        </is>
      </c>
      <c r="D22" t="n" s="20">
        <f>B6</f>
        <v>297534618.15</v>
      </c>
    </row>
    <row r="23"/>
    <row r="24" ht="56" customHeight="1">
      <c r="A24" t="inlineStr">
        <is>
          <t>Methodology note</t>
        </is>
      </c>
      <c r="B24" s="10" t="inlineStr">
        <is>
          <t>Growth and retention are separate drivers. Base forecast uses retention_stress=1.00 and Footnote 3 total ARR growth (28%). Sensitivity NRR rows convert to stress via NRR/1.08 so the center does not re-apply absolute 108% NRR on top of total growth. Center peer EV equals normalized TTM × 1.28 × 6.1x = $297,534,618.15.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22" customWidth="1" min="3" max="3"/>
    <col width="40" customWidth="1" min="4" max="4"/>
    <col width="21" customWidth="1" min="5" max="5"/>
    <col width="19" customWidth="1" min="6" max="6"/>
    <col width="48" customWidth="1" min="7" max="7"/>
  </cols>
  <sheetData>
    <row r="1">
      <c r="A1" s="17" t="inlineStr">
        <is>
          <t>scenario</t>
        </is>
      </c>
      <c r="B1" s="17" t="inlineStr">
        <is>
          <t>target_post_money_pool_pct</t>
        </is>
      </c>
      <c r="C1" s="17" t="inlineStr">
        <is>
          <t>existing_pool_shares</t>
        </is>
      </c>
      <c r="D1" s="17" t="inlineStr">
        <is>
          <t>refresh_shares</t>
        </is>
      </c>
      <c r="E1" s="17" t="inlineStr">
        <is>
          <t>fd_post</t>
        </is>
      </c>
      <c r="F1" s="17" t="inlineStr">
        <is>
          <t>combined_pool_pct</t>
        </is>
      </c>
      <c r="G1" s="17" t="inlineStr">
        <is>
          <t>treatment</t>
        </is>
      </c>
    </row>
    <row r="2">
      <c r="A2" t="inlineStr">
        <is>
          <t>Counsel side letter (12%)</t>
        </is>
      </c>
      <c r="B2" t="n" s="21">
        <f>Assumptions!B27</f>
        <v>0.12</v>
      </c>
      <c r="C2" t="n" s="8">
        <f>Assumptions!B23</f>
        <v>1942000</v>
      </c>
      <c r="D2" t="n" s="8">
        <f>ROUND(MAX((B2*Assumptions!B13-C2)/(1-B2),0),0)</f>
        <v>861652</v>
      </c>
      <c r="E2" t="n" s="8">
        <f>Assumptions!B13+D2</f>
        <v>23363768</v>
      </c>
      <c r="F2" t="n" s="40">
        <f>(C2+D2)/E2</f>
        <v>0.11999999</v>
      </c>
      <c r="G2" s="10" t="inlineStr">
        <is>
          <t>12% side letter from cap_table.csv; alternate only; whole-share ROUND</t>
        </is>
      </c>
    </row>
    <row r="3">
      <c r="A3" t="inlineStr">
        <is>
          <t>Term sheet (15%)</t>
        </is>
      </c>
      <c r="B3" t="n" s="21">
        <f>Assumptions!B26</f>
        <v>0.15</v>
      </c>
      <c r="C3" t="n" s="8">
        <f>Assumptions!B23</f>
        <v>1942000</v>
      </c>
      <c r="D3" t="n" s="8">
        <f>ROUND(MAX((B3*Assumptions!B13-C3)/(1-B3),0),0)</f>
        <v>1686256</v>
      </c>
      <c r="E3" t="n" s="8">
        <f>Assumptions!B13+D3</f>
        <v>24188372</v>
      </c>
      <c r="F3" t="n" s="40">
        <f>(C3+D3)/E3</f>
        <v>0.15000001</v>
      </c>
      <c r="G3" s="10" t="inlineStr">
        <is>
          <t>Board-approved; used on Cap Table Pro Forma; whole-share ROUND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108" customWidth="1" min="2" max="2"/>
  </cols>
  <sheetData>
    <row r="1">
      <c r="A1" s="1" t="inlineStr">
        <is>
          <t>Source conflicts, methodology, and outstanding diligence</t>
        </is>
      </c>
    </row>
    <row r="2">
      <c r="A2" s="1" t="inlineStr">
        <is>
          <t>section / topic</t>
        </is>
      </c>
      <c r="B2" s="1" t="inlineStr">
        <is>
          <t>detail</t>
        </is>
      </c>
    </row>
    <row r="3" ht="48" customHeight="1">
      <c r="A3" s="10" t="inlineStr">
        <is>
          <t>CONFIRMED — Series A Preferred holder</t>
        </is>
      </c>
      <c r="B3" s="10" t="inlineStr">
        <is>
          <t>cap_table.csv lists Forsyth Equity as the Series A Preferred holder: 6,500,000 shares at $1.82/share (2022-04 close). No other holder is shown for that security.</t>
        </is>
      </c>
    </row>
    <row r="4" ht="52" customHeight="1">
      <c r="A4" s="10" t="inlineStr">
        <is>
          <t>CONFIRMED — Forsyth Equity pro-rata</t>
        </is>
      </c>
      <c r="B4" s="10" t="inlineStr">
        <is>
          <t>investor_brief.txt allocates $10,816,850.51 of the $28,000,000 primary to Forsyth Equity (38.6316% of FD pre), matching the Series B Pro-Rata stub on cap_table.csv. That full pro-rata slice is used on the Cap Table Pro Forma.</t>
        </is>
      </c>
    </row>
    <row r="5" ht="72" customHeight="1">
      <c r="A5" s="10" t="inlineStr">
        <is>
          <t>CONFIRMED — ARR bridge from retained cohort rows</t>
        </is>
      </c>
      <c r="B5" s="10" t="inlineStr">
        <is>
          <t>Cohort Build inventories all eight unique 2024 calendar-quarter Cohort Detail records from cohort_summary.xlsx, visibly excludes the duplicate FY2023-Q2 expansion line, and derives quarterly totals with SUMIFS on retained ending_arr. Those totals reconcile to Quarterly Rollup TTM $40,359,060.40. Footnote 1 excludes the Apex Diagnostics pending renewal ($2,252,680), producing normalized model ARR of $38,106,380.40 that feeds Revenue Forecast.</t>
        </is>
      </c>
    </row>
    <row r="6" ht="48" customHeight="1">
      <c r="A6" s="10" t="inlineStr">
        <is>
          <t>CONFIRMED — Headline run-rate not binding</t>
        </is>
      </c>
      <c r="B6" s="10" t="inlineStr">
        <is>
          <t>investor_brief.txt also quotes a $42,100,000 headline run-rate that includes the pending Apex Diagnostics renewal. That headline is disclosed for context only and is not the binding valuation basis.</t>
        </is>
      </c>
    </row>
    <row r="7" ht="64" customHeight="1">
      <c r="A7" s="10" t="inlineStr">
        <is>
          <t>CONFIRMED — Ending-ARR / retention definition</t>
        </is>
      </c>
      <c r="B7" s="10" t="inlineStr">
        <is>
          <t>Per cohort_summary.xlsx Definitions, gross_retention_pct is starting ARR retained before expansion and churn. Cohort Build ending_arr = starting_arr × gross_retention_pct/100 + expansion_arr − churn_arr. Churn is applied once via the −churn_arr term; gross_retention_pct is not a net-of-churn rate, so retention and churn are not double-counted.</t>
        </is>
      </c>
    </row>
    <row r="8" ht="52" customHeight="1">
      <c r="A8" s="10" t="inlineStr">
        <is>
          <t>CONFIRMED — Duplicate FY2023-Q2 expansion</t>
        </is>
      </c>
      <c r="B8" s="10" t="inlineStr">
        <is>
          <t>The duplicate FY2023-Q2 expansion line remains in the Cohort Build inventory with include_flag=0 and an explicit exclusion reason. It is excluded from SUMIFS quarterly totals and normalized ARR (excluded once).</t>
        </is>
      </c>
    </row>
    <row r="9" ht="48" customHeight="1">
      <c r="A9" s="10" t="inlineStr">
        <is>
          <t>CONFIRMED — Fiscal vs calendar quarters</t>
        </is>
      </c>
      <c r="B9" s="10" t="inlineStr">
        <is>
          <t>Per cohort_summary.xlsx fiscal-to-calendar mapping and investor_brief.txt Footnote 2, Cohort Build preserves calendar_quarter from the source map (e.g. FY2023-Q4 → 2024-Q1; FY2024-Q1 → 2024-Q3).</t>
        </is>
      </c>
    </row>
    <row r="10" ht="64" customHeight="1">
      <c r="A10" s="10" t="inlineStr">
        <is>
          <t>MODELING ASSUMPTION — Forward growth path</t>
        </is>
      </c>
      <c r="B10" s="10" t="inlineStr">
        <is>
          <t>Revenue Forecast Y1 uses Footnote 3 total ARR growth (28%) with retention stress scalar = 1.00 on Assumptions. Absolute trailing cohort NRR (~1.08) is a diagnostic only and is not stacked onto total growth in the base case. Sensitivity converts NRR cases to stress = NRR/1.08 so growth and retention remain separate drivers; center peer-median EV = $297,534,618.15.</t>
        </is>
      </c>
    </row>
    <row r="11" ht="64" customHeight="1">
      <c r="A11" s="10" t="inlineStr">
        <is>
          <t>MODELING ASSUMPTION — Vesper base-case conversion price</t>
        </is>
      </c>
      <c r="B11" s="10" t="inlineStr">
        <is>
          <t>Vesper Growth SAFE is modeled at the lower valuation-cap price (≈$2.6745/share) versus the ≈20%-discounted Series B price because that is the contractual lower-of mechanics. This is a modeling assumption for the pro forma while MFN diligence remains open — not a finding that MFN was cleared or that no better terms exist.</t>
        </is>
      </c>
    </row>
    <row r="12" ht="72" customHeight="1">
      <c r="A12" s="10" t="inlineStr">
        <is>
          <t>UNRESOLVED DILIGENCE — Vesper Growth MFN</t>
        </is>
      </c>
      <c r="B12" s="10" t="inlineStr">
        <is>
          <t>The MFN remains outstanding/unresolved per cap_table.csv (status field: 'MFN clause outstanding') and investor_brief.txt (open diligence: document MFN treatment relative to Series B price). No source clears the MFN, confirms review completion, discloses a better MFN term, or waives the clause. Conversion shares remain conditional until MFN diligence closes. No alternate MFN price is modeled because the inputs do not quantify one.</t>
        </is>
      </c>
    </row>
    <row r="13" ht="64" customHeight="1">
      <c r="A13" s="10" t="inlineStr">
        <is>
          <t>CONDITIONAL — Option pool 12% vs 15%</t>
        </is>
      </c>
      <c r="B13" s="10" t="inlineStr">
        <is>
          <t>investor_brief.txt / term sheet: 15% post-money refresh used on Cap Table Pro Forma (1,686,256 refresh; 24,188,372 FD post). cap_table.csv counsel side-letter: 12% alternate on Option pool cases (861,652 refresh). Existing stock-plan pool base = 1,942,000 (Options rows only; Dr. Elena Ruiz advisor warrant excluded from pool inventory but retained in FD).</t>
        </is>
      </c>
    </row>
    <row r="14" ht="44" customHeight="1">
      <c r="A14" s="10" t="inlineStr">
        <is>
          <t>CONFIRMED — Quorum Ventures SAFE</t>
        </is>
      </c>
      <c r="B14" s="10" t="inlineStr">
        <is>
          <t>cap_table.csv and investor_brief.txt both show Quorum Ventures SAFE terms: $1,750,000 invested, $55M cap, no discount. Modeled conversion = 535,360 whole shares (ROUND).</t>
        </is>
      </c>
    </row>
    <row r="15" ht="56" customHeight="1">
      <c r="A15" s="10" t="inlineStr">
        <is>
          <t>CONFIRMED — Whole-share issuance</t>
        </is>
      </c>
      <c r="B15" s="10" t="inlineStr">
        <is>
          <t>SAFE conversion, Series B primary, and option-pool refresh use ROUND(...,0) live formulas. Vesper = 934,756; Quorum = 535,360; pool refresh 15% = 1,686,256; post-money FD = 24,188,372. Cap Table Pro Forma lists each cap_table.csv holder individually (no Founders &amp; Employees rollup); Forsyth Equity post-round = 8,125,000 shares (33.5905% FD).</t>
        </is>
      </c>
    </row>
    <row r="16" ht="56" customHeight="1">
      <c r="A16" s="10" t="inlineStr">
        <is>
          <t>CONFIRMED — Revenue multiples &amp; DCF</t>
        </is>
      </c>
      <c r="B16" s="10" t="inlineStr">
        <is>
          <t>Valuation Summary applies 5.5x–7.0x to Y1 NTM ARR ($48,776,166.91), a 5.0x downside on normalized TTM, and DCF cases at 14%–16% WACC with 3% terminal growth and 22% FCF margin (investor_brief.txt Footnote 3). Sensitivity center equals the 6.1x peer-median NTM case ($297,534,618.15) and ties to live Revenue Forecast Y1.</t>
        </is>
      </c>
    </row>
    <row r="17" ht="56" customHeight="1">
      <c r="A17" s="10" t="inlineStr">
        <is>
          <t>Board recommendation / open items</t>
        </is>
      </c>
      <c r="B17" s="10" t="inlineStr">
        <is>
          <t>Proceed with the Octavian Capital term sheet at $112M pre-money, $28,000,000 primary, and 15% post-money pool per investor_brief.txt. Ownership and conversion figures that depend on Vesper Growth remain conditional while the MFN diligence item is open; close that item before treating conversion shares as final.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2026-09-08T09:26:13Z</dcterms:created>
  <dcterms:modified xsi:type="dcterms:W3CDTF">2026-09-08T09:26:13Z</dcterms:modified>
</cp:coreProperties>
</file>