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Fleet Cohort Build" sheetId="2" state="visible" r:id="rId2"/>
    <sheet name="Revenue Forecast" sheetId="3" state="visible" r:id="rId3"/>
    <sheet name="DCF Build" sheetId="4" state="visible" r:id="rId4"/>
    <sheet name="Cap Table Pro Forma" sheetId="5" state="visible" r:id="rId5"/>
    <sheet name="Valuation Summary" sheetId="6" state="visible" r:id="rId6"/>
    <sheet name="Sensitivity" sheetId="7" state="visible" r:id="rId7"/>
    <sheet name="Option pool cases" sheetId="8" state="visible" r:id="rId8"/>
    <sheet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</cols>
  <sheetData>
    <row r="1">
      <c r="A1" s="1" t="inlineStr">
        <is>
          <t>Ironclad Telematics — growth-equity valuation inputs</t>
        </is>
      </c>
      <c r="B1" s="1" t="inlineStr">
        <is>
          <t>Value</t>
        </is>
      </c>
    </row>
    <row r="2"/>
    <row r="3">
      <c r="A3" t="inlineStr">
        <is>
          <t>Pre-money valuation</t>
        </is>
      </c>
      <c r="B3" t="n">
        <v>145000000</v>
      </c>
    </row>
    <row r="4">
      <c r="A4" t="inlineStr">
        <is>
          <t>Primary proceeds</t>
        </is>
      </c>
      <c r="B4" t="n">
        <v>35000000</v>
      </c>
    </row>
    <row r="5">
      <c r="A5" t="inlineStr">
        <is>
          <t>Post-money before pool refresh</t>
        </is>
      </c>
      <c r="B5" t="n">
        <v>180000000</v>
      </c>
    </row>
    <row r="6">
      <c r="A6" t="inlineStr">
        <is>
          <t>Calendar 2024 cohort TTM</t>
        </is>
      </c>
      <c r="B6" t="n">
        <v>26041610.8</v>
      </c>
    </row>
    <row r="7">
      <c r="A7" t="inlineStr">
        <is>
          <t>Municipal pilot excluded</t>
        </is>
      </c>
      <c r="B7" t="n">
        <v>2040000</v>
      </c>
    </row>
    <row r="8">
      <c r="A8" t="inlineStr">
        <is>
          <t>Normalized model ARR</t>
        </is>
      </c>
      <c r="B8" t="n">
        <v>24001610.8</v>
      </c>
    </row>
    <row r="9">
      <c r="A9" t="inlineStr">
        <is>
          <t>Brief headline run-rate (not used)</t>
        </is>
      </c>
      <c r="B9" t="n">
        <v>28400000</v>
      </c>
    </row>
    <row r="10">
      <c r="A10" t="inlineStr">
        <is>
          <t>Fully diluted pre-money shares</t>
        </is>
      </c>
      <c r="B10" t="n">
        <v>18400000</v>
      </c>
    </row>
    <row r="11">
      <c r="A11" t="inlineStr">
        <is>
          <t>Quorum Ventures Series Seed preferred shares</t>
        </is>
      </c>
      <c r="B11" t="n">
        <v>4600000</v>
      </c>
    </row>
    <row r="12">
      <c r="A12" t="inlineStr">
        <is>
          <t>Growth round price per share</t>
        </is>
      </c>
      <c r="B12" t="n">
        <v>7.88043478</v>
      </c>
    </row>
    <row r="13">
      <c r="A13" t="inlineStr">
        <is>
          <t>Note A cap price</t>
        </is>
      </c>
      <c r="B13" t="n">
        <v>2.7173913</v>
      </c>
    </row>
    <row r="14">
      <c r="A14" t="inlineStr">
        <is>
          <t>Note A discounted round price</t>
        </is>
      </c>
      <c r="B14" t="n">
        <v>6.30434782</v>
      </c>
    </row>
    <row r="15">
      <c r="A15" t="inlineStr">
        <is>
          <t>Note A conversion price (lower)</t>
        </is>
      </c>
      <c r="B15" t="n">
        <v>2.7173913</v>
      </c>
    </row>
    <row r="16">
      <c r="A16" t="inlineStr">
        <is>
          <t>Note B cap conversion price</t>
        </is>
      </c>
      <c r="B16" t="n">
        <v>3.5326087</v>
      </c>
    </row>
    <row r="17">
      <c r="A17" t="inlineStr">
        <is>
          <t>Note A conversion shares</t>
        </is>
      </c>
      <c r="B17" t="n">
        <v>1545600</v>
      </c>
    </row>
    <row r="18">
      <c r="A18" t="inlineStr">
        <is>
          <t>Note B conversion shares</t>
        </is>
      </c>
      <c r="B18" t="n">
        <v>792615.38</v>
      </c>
    </row>
    <row r="19">
      <c r="A19" t="inlineStr">
        <is>
          <t>Existing available option pool shares</t>
        </is>
      </c>
      <c r="B19" t="n">
        <v>1250000</v>
      </c>
    </row>
    <row r="20">
      <c r="A20" t="inlineStr">
        <is>
          <t>FD shares before pool refresh</t>
        </is>
      </c>
      <c r="B20" t="n">
        <v>25179594.69</v>
      </c>
    </row>
    <row r="21">
      <c r="A21" t="inlineStr">
        <is>
          <t>Sponsor post-money pool target</t>
        </is>
      </c>
      <c r="B21" t="n">
        <v>0.12</v>
      </c>
    </row>
    <row r="22">
      <c r="A22" t="inlineStr">
        <is>
          <t>Counsel available-pool reference</t>
        </is>
      </c>
      <c r="B22" t="n">
        <v>0.1</v>
      </c>
    </row>
    <row r="23">
      <c r="A23" t="inlineStr">
        <is>
          <t>Sponsor-case pool refresh shares</t>
        </is>
      </c>
      <c r="B23" t="n">
        <v>2013126.55</v>
      </c>
    </row>
    <row r="24">
      <c r="A24" t="inlineStr">
        <is>
          <t>FCF margin</t>
        </is>
      </c>
      <c r="B24" t="n">
        <v>0.2</v>
      </c>
    </row>
    <row r="25">
      <c r="A25" t="inlineStr">
        <is>
          <t>DCF WACC low</t>
        </is>
      </c>
      <c r="B25" t="n">
        <v>0.13</v>
      </c>
    </row>
    <row r="26">
      <c r="A26" t="inlineStr">
        <is>
          <t>DCF WACC high</t>
        </is>
      </c>
      <c r="B26" t="n">
        <v>0.15</v>
      </c>
    </row>
    <row r="27">
      <c r="A27" t="inlineStr">
        <is>
          <t>Terminal growth</t>
        </is>
      </c>
      <c r="B27" t="n">
        <v>0.03</v>
      </c>
    </row>
    <row r="28">
      <c r="A28" t="inlineStr">
        <is>
          <t>Peer median NTM multiple</t>
        </is>
      </c>
      <c r="B28" t="n">
        <v>5.2</v>
      </c>
    </row>
    <row r="29">
      <c r="A29" t="inlineStr">
        <is>
          <t>NTM multiple — low</t>
        </is>
      </c>
      <c r="B29" t="n">
        <v>4.5</v>
      </c>
    </row>
    <row r="30">
      <c r="A30" t="inlineStr">
        <is>
          <t>NTM multiple — high</t>
        </is>
      </c>
      <c r="B30" t="n">
        <v>6</v>
      </c>
    </row>
    <row r="31">
      <c r="A31" t="inlineStr">
        <is>
          <t>TTM downside multiple</t>
        </is>
      </c>
      <c r="B31" t="n">
        <v>4</v>
      </c>
    </row>
    <row r="32">
      <c r="A32" t="inlineStr">
        <is>
          <t>Octavian Capital Note A principal</t>
        </is>
      </c>
      <c r="B32" t="n">
        <v>4200000</v>
      </c>
    </row>
    <row r="33">
      <c r="A33" t="inlineStr">
        <is>
          <t>Octavian Capital Note A valuation cap</t>
        </is>
      </c>
      <c r="B33" t="n">
        <v>50000000</v>
      </c>
    </row>
    <row r="34">
      <c r="A34" t="inlineStr">
        <is>
          <t>Octavian Capital Note A discount</t>
        </is>
      </c>
      <c r="B34" t="n">
        <v>0.2</v>
      </c>
    </row>
    <row r="35">
      <c r="A35" t="inlineStr">
        <is>
          <t>Vesper Growth Note B principal</t>
        </is>
      </c>
      <c r="B35" t="n">
        <v>2800000</v>
      </c>
    </row>
    <row r="36">
      <c r="A36" t="inlineStr">
        <is>
          <t>Vesper Growth Note B valuation cap</t>
        </is>
      </c>
      <c r="B36" t="n">
        <v>65000000</v>
      </c>
    </row>
    <row r="37">
      <c r="A37" t="inlineStr">
        <is>
          <t>Quorum Ventures pro-rata primary proceeds</t>
        </is>
      </c>
      <c r="B37" t="n">
        <v>8750000</v>
      </c>
    </row>
    <row r="38">
      <c r="A38" t="inlineStr">
        <is>
          <t>Hartwell Partners lead primary proceeds</t>
        </is>
      </c>
      <c r="B38" t="n">
        <v>26250000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47" customWidth="1" min="3" max="3"/>
    <col width="14" customWidth="1" min="4" max="4"/>
    <col width="15" customWidth="1" min="5" max="5"/>
    <col width="21" customWidth="1" min="6" max="6"/>
    <col width="15" customWidth="1" min="7" max="7"/>
    <col width="12" customWidth="1" min="8" max="8"/>
    <col width="22" customWidth="1" min="9" max="9"/>
    <col width="18" customWidth="1" min="10" max="10"/>
    <col width="21" customWidth="1" min="11" max="11"/>
    <col width="55" customWidth="1" min="12" max="12"/>
  </cols>
  <sheetData>
    <row r="1">
      <c r="A1" s="1" t="inlineStr">
        <is>
          <t>cohort_id</t>
        </is>
      </c>
      <c r="B1" s="1" t="inlineStr">
        <is>
          <t>fiscal_month_label</t>
        </is>
      </c>
      <c r="C1" s="1" t="inlineStr">
        <is>
          <t>calendar_quarter</t>
        </is>
      </c>
      <c r="D1" s="1" t="inlineStr">
        <is>
          <t>starting_arr</t>
        </is>
      </c>
      <c r="E1" s="1" t="inlineStr">
        <is>
          <t>vehicle_count</t>
        </is>
      </c>
      <c r="F1" s="1" t="inlineStr">
        <is>
          <t>gross_retention_pct</t>
        </is>
      </c>
      <c r="G1" s="1" t="inlineStr">
        <is>
          <t>expansion_arr</t>
        </is>
      </c>
      <c r="H1" s="1" t="inlineStr">
        <is>
          <t>churn_arr</t>
        </is>
      </c>
      <c r="I1" s="1" t="inlineStr">
        <is>
          <t>ending_arr</t>
        </is>
      </c>
      <c r="J1" s="1" t="inlineStr">
        <is>
          <t>include_in_model</t>
        </is>
      </c>
      <c r="K1" s="1" t="inlineStr">
        <is>
          <t>adjusted_ending_arr</t>
        </is>
      </c>
      <c r="L1" s="1" t="inlineStr">
        <is>
          <t>source_treatment</t>
        </is>
      </c>
    </row>
    <row r="2">
      <c r="A2" t="inlineStr">
        <is>
          <t>IC-2019-01</t>
        </is>
      </c>
      <c r="B2" t="inlineStr">
        <is>
          <t>FY25-M07</t>
        </is>
      </c>
      <c r="C2" t="inlineStr">
        <is>
          <t>2024-Q4</t>
        </is>
      </c>
      <c r="D2" t="n">
        <v>360570.44</v>
      </c>
      <c r="E2" t="n">
        <v>46</v>
      </c>
      <c r="F2" t="n">
        <v>93.1</v>
      </c>
      <c r="G2" t="n">
        <v>38887.27</v>
      </c>
      <c r="H2" t="n">
        <v>21065.35</v>
      </c>
      <c t="n" r="I2">
        <f>D2*F2/100+G2-H2</f>
        <v>353513</v>
      </c>
      <c r="J2" t="n">
        <v>1</v>
      </c>
      <c t="n" r="K2">
        <f>I2*J2</f>
        <v>353513</v>
      </c>
      <c r="L2" t="inlineStr">
        <is>
          <t>Included</t>
        </is>
      </c>
    </row>
    <row r="3">
      <c r="A3" t="inlineStr">
        <is>
          <t>IC-2020-02</t>
        </is>
      </c>
      <c r="B3" t="inlineStr">
        <is>
          <t>FY25-M07</t>
        </is>
      </c>
      <c r="C3" t="inlineStr">
        <is>
          <t>2024-Q4</t>
        </is>
      </c>
      <c r="D3" t="n">
        <v>428386.57</v>
      </c>
      <c r="E3" t="n">
        <v>57</v>
      </c>
      <c r="F3" t="n">
        <v>92.4</v>
      </c>
      <c r="G3" t="n">
        <v>47728.15</v>
      </c>
      <c r="H3" t="n">
        <v>23892.79</v>
      </c>
      <c t="n" r="I3">
        <f>D3*F3/100+G3-H3</f>
        <v>419664.55</v>
      </c>
      <c r="J3" t="n">
        <v>1</v>
      </c>
      <c t="n" r="K3">
        <f>I3*J3</f>
        <v>419664.55</v>
      </c>
      <c r="L3" t="inlineStr">
        <is>
          <t>Included</t>
        </is>
      </c>
    </row>
    <row r="4">
      <c r="A4" t="inlineStr">
        <is>
          <t>IC-2020-04</t>
        </is>
      </c>
      <c r="B4" t="inlineStr">
        <is>
          <t>FY25-M07</t>
        </is>
      </c>
      <c r="C4" t="inlineStr">
        <is>
          <t>2024-Q4</t>
        </is>
      </c>
      <c r="D4" t="n">
        <v>575839.21</v>
      </c>
      <c r="E4" t="n">
        <v>67</v>
      </c>
      <c r="F4" t="n">
        <v>93.8</v>
      </c>
      <c r="G4" t="n">
        <v>59893.98</v>
      </c>
      <c r="H4" t="n">
        <v>27543.73</v>
      </c>
      <c t="n" r="I4">
        <f>D4*F4/100+G4-H4</f>
        <v>572487.43</v>
      </c>
      <c r="J4" t="n">
        <v>1</v>
      </c>
      <c t="n" r="K4">
        <f>I4*J4</f>
        <v>572487.43</v>
      </c>
      <c r="L4" t="inlineStr">
        <is>
          <t>Included</t>
        </is>
      </c>
    </row>
    <row r="5">
      <c r="A5" t="inlineStr">
        <is>
          <t>IC-2021-01</t>
        </is>
      </c>
      <c r="B5" t="inlineStr">
        <is>
          <t>FY25-M07</t>
        </is>
      </c>
      <c r="C5" t="inlineStr">
        <is>
          <t>2024-Q4</t>
        </is>
      </c>
      <c r="D5" t="n">
        <v>715429.6</v>
      </c>
      <c r="E5" t="n">
        <v>76</v>
      </c>
      <c r="F5" t="n">
        <v>94.7</v>
      </c>
      <c r="G5" t="n">
        <v>69826.46</v>
      </c>
      <c r="H5" t="n">
        <v>31796.74</v>
      </c>
      <c t="n" r="I5">
        <f>D5*F5/100+G5-H5</f>
        <v>715541.55</v>
      </c>
      <c r="J5" t="n">
        <v>1</v>
      </c>
      <c t="n" r="K5">
        <f>I5*J5</f>
        <v>715541.55</v>
      </c>
      <c r="L5" t="inlineStr">
        <is>
          <t>Included</t>
        </is>
      </c>
    </row>
    <row r="6">
      <c r="A6" t="inlineStr">
        <is>
          <t>IC-2021-03</t>
        </is>
      </c>
      <c r="B6" t="inlineStr">
        <is>
          <t>FY25-M07</t>
        </is>
      </c>
      <c r="C6" t="inlineStr">
        <is>
          <t>2024-Q4</t>
        </is>
      </c>
      <c r="D6" t="n">
        <v>843032.6</v>
      </c>
      <c r="E6" t="n">
        <v>91</v>
      </c>
      <c r="F6" t="n">
        <v>94.1</v>
      </c>
      <c r="G6" t="n">
        <v>87700.1</v>
      </c>
      <c r="H6" t="n">
        <v>39029.03</v>
      </c>
      <c t="n" r="I6">
        <f>D6*F6/100+G6-H6</f>
        <v>841964.75</v>
      </c>
      <c r="J6" t="n">
        <v>1</v>
      </c>
      <c t="n" r="K6">
        <f>I6*J6</f>
        <v>841964.75</v>
      </c>
      <c r="L6" t="inlineStr">
        <is>
          <t>Included</t>
        </is>
      </c>
    </row>
    <row r="7">
      <c r="A7" t="inlineStr">
        <is>
          <t>IC-2022-01</t>
        </is>
      </c>
      <c r="B7" t="inlineStr">
        <is>
          <t>FY25-M07</t>
        </is>
      </c>
      <c r="C7" t="inlineStr">
        <is>
          <t>2024-Q4</t>
        </is>
      </c>
      <c r="D7" t="n">
        <v>1052584.99</v>
      </c>
      <c r="E7" t="n">
        <v>106</v>
      </c>
      <c r="F7" t="n">
        <v>95.3</v>
      </c>
      <c r="G7" t="n">
        <v>103664.07</v>
      </c>
      <c r="H7" t="n">
        <v>43621.14</v>
      </c>
      <c t="n" r="I7">
        <f>D7*F7/100+G7-H7</f>
        <v>1063156.43</v>
      </c>
      <c r="J7" t="n">
        <v>1</v>
      </c>
      <c t="n" r="K7">
        <f>I7*J7</f>
        <v>1063156.43</v>
      </c>
      <c r="L7" t="inlineStr">
        <is>
          <t>Included</t>
        </is>
      </c>
    </row>
    <row r="8">
      <c r="A8" t="inlineStr">
        <is>
          <t>IC-2022-04</t>
        </is>
      </c>
      <c r="B8" t="inlineStr">
        <is>
          <t>FY25-M07</t>
        </is>
      </c>
      <c r="C8" t="inlineStr">
        <is>
          <t>2024-Q4</t>
        </is>
      </c>
      <c r="D8" t="n">
        <v>1211415.28</v>
      </c>
      <c r="E8" t="n">
        <v>120</v>
      </c>
      <c r="F8" t="n">
        <v>94.9</v>
      </c>
      <c r="G8" t="n">
        <v>120909.7</v>
      </c>
      <c r="H8" t="n">
        <v>47617.97</v>
      </c>
      <c t="n" r="I8">
        <f>D8*F8/100+G8-H8</f>
        <v>1222924.83</v>
      </c>
      <c r="J8" t="n">
        <v>1</v>
      </c>
      <c t="n" r="K8">
        <f>I8*J8</f>
        <v>1222924.83</v>
      </c>
      <c r="L8" t="inlineStr">
        <is>
          <t>Included</t>
        </is>
      </c>
    </row>
    <row r="9">
      <c r="A9" t="inlineStr">
        <is>
          <t>IC-2023-02</t>
        </is>
      </c>
      <c r="B9" t="inlineStr">
        <is>
          <t>FY25-M07</t>
        </is>
      </c>
      <c r="C9" t="inlineStr">
        <is>
          <t>2024-Q4</t>
        </is>
      </c>
      <c r="D9" t="n">
        <v>1485096.67</v>
      </c>
      <c r="E9" t="n">
        <v>135</v>
      </c>
      <c r="F9" t="n">
        <v>95.8</v>
      </c>
      <c r="G9" t="n">
        <v>141232.9</v>
      </c>
      <c r="H9" t="n">
        <v>53455.45</v>
      </c>
      <c t="n" r="I9">
        <f>D9*F9/100+G9-H9</f>
        <v>1510500.06</v>
      </c>
      <c r="J9" t="n">
        <v>1</v>
      </c>
      <c t="n" r="K9">
        <f>I9*J9</f>
        <v>1510500.06</v>
      </c>
      <c r="L9" t="inlineStr">
        <is>
          <t>Included</t>
        </is>
      </c>
    </row>
    <row r="10">
      <c r="A10" t="inlineStr">
        <is>
          <t>IC-2023-04</t>
        </is>
      </c>
      <c r="B10" t="inlineStr">
        <is>
          <t>FY25-M07</t>
        </is>
      </c>
      <c r="C10" t="inlineStr">
        <is>
          <t>2024-Q4</t>
        </is>
      </c>
      <c r="D10" t="n">
        <v>1666217.46</v>
      </c>
      <c r="E10" t="n">
        <v>152</v>
      </c>
      <c r="F10" t="n">
        <v>95.5</v>
      </c>
      <c r="G10" t="n">
        <v>165044.15</v>
      </c>
      <c r="H10" t="n">
        <v>59770.94</v>
      </c>
      <c t="n" r="I10">
        <f>D10*F10/100+G10-H10</f>
        <v>1696510.88</v>
      </c>
      <c r="J10" t="n">
        <v>1</v>
      </c>
      <c t="n" r="K10">
        <f>I10*J10</f>
        <v>1696510.88</v>
      </c>
      <c r="L10" t="inlineStr">
        <is>
          <t>Included</t>
        </is>
      </c>
    </row>
    <row r="11">
      <c r="A11" t="inlineStr">
        <is>
          <t>IC-MUNI-24</t>
        </is>
      </c>
      <c r="B11" t="inlineStr">
        <is>
          <t>FY25-M07</t>
        </is>
      </c>
      <c r="C11" t="inlineStr">
        <is>
          <t>2024-Q4</t>
        </is>
      </c>
      <c r="D11" t="n">
        <v>2260320</v>
      </c>
      <c r="E11" t="n">
        <v>304</v>
      </c>
      <c r="F11" t="n">
        <v>100</v>
      </c>
      <c r="G11" t="n">
        <v>0</v>
      </c>
      <c r="H11" t="n">
        <v>0</v>
      </c>
      <c t="n" r="I11">
        <f>D11*F11/100+G11-H11</f>
        <v>2260320</v>
      </c>
      <c r="J11" t="n">
        <v>0</v>
      </c>
      <c t="n" r="K11">
        <f>I11*J11</f>
        <v>0</v>
      </c>
      <c r="L11" t="inlineStr">
        <is>
          <t>Excluded: pilot_non_recurring per brief Footnote 1; MetroLink Transit Authority 12-month deployment; procurement has not approved renewal. Exclude from run-rate under sponsor brief Footnote 1 using the brief's $2,040,000 award-year annualized exclusion (not this row's ending_arr). Current-period ending_arr reflects mid-pilot vehicle adds and rate schedule.</t>
        </is>
      </c>
    </row>
    <row r="12"/>
    <row r="13"/>
    <row r="14">
      <c r="A14" t="inlineStr">
        <is>
          <t>calendar_quarter</t>
        </is>
      </c>
      <c r="B14" t="inlineStr">
        <is>
          <t>source_rollup_arr</t>
        </is>
      </c>
      <c r="C14" t="inlineStr">
        <is>
          <t>source</t>
        </is>
      </c>
    </row>
    <row r="15">
      <c r="A15" t="inlineStr">
        <is>
          <t>2024-Q1</t>
        </is>
      </c>
      <c r="B15" t="n">
        <v>5712480.35</v>
      </c>
      <c r="C15" t="inlineStr">
        <is>
          <t>ironclad_fleet_cohort_arr.xlsx / Fleet Rollup</t>
        </is>
      </c>
    </row>
    <row r="16">
      <c r="A16" t="inlineStr">
        <is>
          <t>2024-Q2</t>
        </is>
      </c>
      <c r="B16" t="n">
        <v>6184925.8</v>
      </c>
      <c r="C16" t="inlineStr">
        <is>
          <t>ironclad_fleet_cohort_arr.xlsx / Fleet Rollup</t>
        </is>
      </c>
    </row>
    <row r="17">
      <c r="A17" t="inlineStr">
        <is>
          <t>2024-Q3</t>
        </is>
      </c>
      <c r="B17" t="n">
        <v>6752340.45</v>
      </c>
      <c r="C17" t="inlineStr">
        <is>
          <t>ironclad_fleet_cohort_arr.xlsx / Fleet Rollup</t>
        </is>
      </c>
    </row>
    <row r="18">
      <c r="A18" t="inlineStr">
        <is>
          <t>2024-Q4</t>
        </is>
      </c>
      <c r="B18" t="n">
        <v>7391864.2</v>
      </c>
      <c r="C18" t="inlineStr">
        <is>
          <t>ironclad_fleet_cohort_arr.xlsx / Fleet Rollup</t>
        </is>
      </c>
    </row>
    <row r="19"/>
    <row r="20">
      <c r="A20" t="inlineStr">
        <is>
          <t>Calendar 2024 TTM</t>
        </is>
      </c>
      <c t="n" r="B20">
        <f>SUM(B15:B18)</f>
        <v>26041610.8</v>
      </c>
    </row>
    <row r="21">
      <c r="A21" t="inlineStr">
        <is>
          <t>Normalized model ARR</t>
        </is>
      </c>
      <c t="n" r="B21">
        <f>B20-Assumptions!B7</f>
        <v>24001610.8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27" customWidth="1" min="3" max="3"/>
    <col width="18" customWidth="1" min="4" max="4"/>
    <col width="16" customWidth="1" min="5" max="5"/>
  </cols>
  <sheetData>
    <row r="1">
      <c r="A1" s="1" t="inlineStr">
        <is>
          <t>period</t>
        </is>
      </c>
      <c r="B1" s="1" t="inlineStr">
        <is>
          <t>growth_rate</t>
        </is>
      </c>
      <c r="C1" s="1" t="inlineStr">
        <is>
          <t>arr</t>
        </is>
      </c>
      <c r="D1" s="1" t="inlineStr">
        <is>
          <t>fcf_margin</t>
        </is>
      </c>
      <c r="E1" s="1" t="inlineStr">
        <is>
          <t>free_cash_flow</t>
        </is>
      </c>
    </row>
    <row r="2">
      <c r="A2" t="inlineStr">
        <is>
          <t>Base / normalized TTM</t>
        </is>
      </c>
      <c r="B2" t="n">
        <v>0</v>
      </c>
      <c t="n" r="C2">
        <f>'Fleet Cohort Build'!B21</f>
        <v>24001610.8</v>
      </c>
      <c r="D2" t="n">
        <v>0.2</v>
      </c>
      <c t="n" r="E2">
        <f>C2*D2</f>
        <v>4800322.16</v>
      </c>
    </row>
    <row r="3">
      <c r="A3" t="inlineStr">
        <is>
          <t>Year 1</t>
        </is>
      </c>
      <c r="B3" t="n">
        <v>0.26</v>
      </c>
      <c t="n" r="C3">
        <f>C2*(1+B3)</f>
        <v>30242029.61</v>
      </c>
      <c t="n" r="D3">
        <f>Assumptions!B24</f>
        <v>0.2</v>
      </c>
      <c t="n" r="E3">
        <f>C3*D3</f>
        <v>6048405.92</v>
      </c>
    </row>
    <row r="4">
      <c r="A4" t="inlineStr">
        <is>
          <t>Year 2</t>
        </is>
      </c>
      <c r="B4" t="n">
        <v>0.22</v>
      </c>
      <c t="n" r="C4">
        <f>C3*(1+B4)</f>
        <v>36895276.12</v>
      </c>
      <c t="n" r="D4">
        <f>Assumptions!B24</f>
        <v>0.2</v>
      </c>
      <c t="n" r="E4">
        <f>C4*D4</f>
        <v>7379055.22</v>
      </c>
    </row>
    <row r="5">
      <c r="A5" t="inlineStr">
        <is>
          <t>Year 3</t>
        </is>
      </c>
      <c r="B5" t="n">
        <v>0.18</v>
      </c>
      <c t="n" r="C5">
        <f>C4*(1+B5)</f>
        <v>43536425.82</v>
      </c>
      <c t="n" r="D5">
        <f>Assumptions!B24</f>
        <v>0.2</v>
      </c>
      <c t="n" r="E5">
        <f>C5*D5</f>
        <v>8707285.16</v>
      </c>
    </row>
    <row r="6">
      <c r="A6" t="inlineStr">
        <is>
          <t>Year 4</t>
        </is>
      </c>
      <c r="B6" t="n">
        <v>0.15</v>
      </c>
      <c t="n" r="C6">
        <f>C5*(1+B6)</f>
        <v>50066889.69</v>
      </c>
      <c t="n" r="D6">
        <f>Assumptions!B24</f>
        <v>0.2</v>
      </c>
      <c t="n" r="E6">
        <f>C6*D6</f>
        <v>10013377.94</v>
      </c>
    </row>
    <row r="7">
      <c r="A7" t="inlineStr">
        <is>
          <t>Year 5</t>
        </is>
      </c>
      <c r="B7" t="n">
        <v>0.12</v>
      </c>
      <c t="n" r="C7">
        <f>C6*(1+B7)</f>
        <v>56074916.45</v>
      </c>
      <c t="n" r="D7">
        <f>Assumptions!B24</f>
        <v>0.2</v>
      </c>
      <c t="n" r="E7">
        <f>C7*D7</f>
        <v>11214983.29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27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arr</t>
        </is>
      </c>
      <c r="C1" s="1" t="inlineStr">
        <is>
          <t>fcf</t>
        </is>
      </c>
      <c r="D1" s="1" t="inlineStr">
        <is>
          <t>discount_factor_13pct</t>
        </is>
      </c>
      <c r="E1" s="1" t="inlineStr">
        <is>
          <t>pv_13pct</t>
        </is>
      </c>
      <c r="F1" s="1" t="inlineStr">
        <is>
          <t>discount_factor_15pct</t>
        </is>
      </c>
      <c r="G1" s="1" t="inlineStr">
        <is>
          <t>pv_15pct</t>
        </is>
      </c>
    </row>
    <row r="2">
      <c r="A2" t="n">
        <v>1</v>
      </c>
      <c t="n" r="B2">
        <f>'Revenue Forecast'!C3</f>
        <v>30242029.61</v>
      </c>
      <c t="n" r="C2">
        <f>B2*Assumptions!B24</f>
        <v>6048405.92</v>
      </c>
      <c t="n" r="D2">
        <f>1/(1+Assumptions!B25)^A2</f>
        <v>0.88495575</v>
      </c>
      <c t="n" r="E2">
        <f>C2*D2</f>
        <v>5352571.61</v>
      </c>
      <c t="n" r="F2">
        <f>1/(1+Assumptions!B26)^A2</f>
        <v>0.86956522</v>
      </c>
      <c t="n" r="G2">
        <f>C2*F2</f>
        <v>5259483.41</v>
      </c>
    </row>
    <row r="3">
      <c r="A3" t="n">
        <v>2</v>
      </c>
      <c t="n" r="B3">
        <f>'Revenue Forecast'!C4</f>
        <v>36895276.12</v>
      </c>
      <c t="n" r="C3">
        <f>B3*Assumptions!B24</f>
        <v>7379055.22</v>
      </c>
      <c t="n" r="D3">
        <f>1/(1+Assumptions!B25)^A3</f>
        <v>0.78314668</v>
      </c>
      <c t="n" r="E3">
        <f>C3*D3</f>
        <v>5778882.63</v>
      </c>
      <c t="n" r="F3">
        <f>1/(1+Assumptions!B26)^A3</f>
        <v>0.75614367</v>
      </c>
      <c t="n" r="G3">
        <f>C3*F3</f>
        <v>5579625.88</v>
      </c>
    </row>
    <row r="4">
      <c r="A4" t="n">
        <v>3</v>
      </c>
      <c t="n" r="B4">
        <f>'Revenue Forecast'!C5</f>
        <v>43536425.82</v>
      </c>
      <c t="n" r="C4">
        <f>B4*Assumptions!B24</f>
        <v>8707285.16</v>
      </c>
      <c t="n" r="D4">
        <f>1/(1+Assumptions!B25)^A4</f>
        <v>0.69305016</v>
      </c>
      <c t="n" r="E4">
        <f>C4*D4</f>
        <v>6034585.4</v>
      </c>
      <c t="n" r="F4">
        <f>1/(1+Assumptions!B26)^A4</f>
        <v>0.65751623</v>
      </c>
      <c t="n" r="G4">
        <f>C4*F4</f>
        <v>5725181.34</v>
      </c>
    </row>
    <row r="5">
      <c r="A5" t="n">
        <v>4</v>
      </c>
      <c t="n" r="B5">
        <f>'Revenue Forecast'!C6</f>
        <v>50066889.69</v>
      </c>
      <c t="n" r="C5">
        <f>B5*Assumptions!B24</f>
        <v>10013377.94</v>
      </c>
      <c t="n" r="D5">
        <f>1/(1+Assumptions!B25)^A5</f>
        <v>0.61331873</v>
      </c>
      <c t="n" r="E5">
        <f>C5*D5</f>
        <v>6141392.22</v>
      </c>
      <c t="n" r="F5">
        <f>1/(1+Assumptions!B26)^A5</f>
        <v>0.57175325</v>
      </c>
      <c t="n" r="G5">
        <f>C5*F5</f>
        <v>5725181.34</v>
      </c>
    </row>
    <row r="6">
      <c r="A6" t="n">
        <v>5</v>
      </c>
      <c t="n" r="B6">
        <f>'Revenue Forecast'!C7</f>
        <v>56074916.45</v>
      </c>
      <c t="n" r="C6">
        <f>B6*Assumptions!B24</f>
        <v>11214983.29</v>
      </c>
      <c t="n" r="D6">
        <f>1/(1+Assumptions!B25)^A6</f>
        <v>0.54275994</v>
      </c>
      <c t="n" r="E6">
        <f>C6*D6</f>
        <v>6087043.61</v>
      </c>
      <c t="n" r="F6">
        <f>1/(1+Assumptions!B26)^A6</f>
        <v>0.49717674</v>
      </c>
      <c t="n" r="G6">
        <f>C6*F6</f>
        <v>5575828.78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22" customWidth="1" min="3" max="3"/>
    <col width="27" customWidth="1" min="4" max="4"/>
    <col width="19" customWidth="1" min="5" max="5"/>
    <col width="34" customWidth="1" min="6" max="6"/>
    <col width="13" customWidth="1" min="7" max="7"/>
    <col width="20" customWidth="1" min="8" max="8"/>
    <col width="43" customWidth="1" min="9" max="9"/>
  </cols>
  <sheetData>
    <row r="1">
      <c r="A1" s="1" t="inlineStr">
        <is>
          <t>holder / security</t>
        </is>
      </c>
      <c r="B1" s="1" t="inlineStr">
        <is>
          <t>pre_shares</t>
        </is>
      </c>
      <c r="C1" s="1" t="inlineStr">
        <is>
          <t>principal_or_primary</t>
        </is>
      </c>
      <c r="D1" s="1" t="inlineStr">
        <is>
          <t>conversion_or_round_price</t>
        </is>
      </c>
      <c r="E1" s="1" t="inlineStr">
        <is>
          <t>conversion_shares</t>
        </is>
      </c>
      <c r="F1" s="1" t="inlineStr">
        <is>
          <t>primary_shares</t>
        </is>
      </c>
      <c r="G1" s="1" t="inlineStr">
        <is>
          <t>post_shares</t>
        </is>
      </c>
      <c r="H1" s="1" t="inlineStr">
        <is>
          <t>post_ownership</t>
        </is>
      </c>
      <c r="I1" s="1" t="inlineStr">
        <is>
          <t>treatment</t>
        </is>
      </c>
    </row>
    <row r="2">
      <c r="A2" t="inlineStr">
        <is>
          <t>Existing holders (including available pool)</t>
        </is>
      </c>
      <c t="n" r="B2">
        <f>Assumptions!B10</f>
        <v>18400000</v>
      </c>
      <c r="C2" t="n">
        <v>0</v>
      </c>
      <c r="D2" t="n">
        <v>0</v>
      </c>
      <c r="E2" t="n">
        <v>0</v>
      </c>
      <c r="F2" t="n">
        <v>0</v>
      </c>
      <c t="n" r="G2">
        <f>B2+E2+F2</f>
        <v>18400000</v>
      </c>
      <c t="n" r="H2">
        <f>G2/SUM($G$2:$G$7)</f>
        <v>0.67665166</v>
      </c>
      <c r="I2" t="inlineStr">
        <is>
          <t>Pre-money FD from ironclad_cap_table.csv</t>
        </is>
      </c>
    </row>
    <row r="3">
      <c r="A3" t="inlineStr">
        <is>
          <t>Octavian Capital — Note A</t>
        </is>
      </c>
      <c r="B3" t="n">
        <v>0</v>
      </c>
      <c t="n" r="C3">
        <f>Assumptions!B32</f>
        <v>4200000</v>
      </c>
      <c t="n" r="D3">
        <f>Assumptions!B15</f>
        <v>2.7174</v>
      </c>
      <c t="n" r="E3">
        <f>Assumptions!B17</f>
        <v>1545600</v>
      </c>
      <c r="F3" t="n">
        <v>0</v>
      </c>
      <c t="n" r="G3">
        <f>B3+E3+F3</f>
        <v>1545600</v>
      </c>
      <c t="n" r="H3">
        <f>G3/SUM($G$2:$G$7)</f>
        <v>0.05683874</v>
      </c>
      <c r="I3" t="inlineStr">
        <is>
          <t>Displayed first per brief; cap price wins</t>
        </is>
      </c>
    </row>
    <row r="4">
      <c r="A4" t="inlineStr">
        <is>
          <t>Vesper Growth — Note B</t>
        </is>
      </c>
      <c r="B4" t="n">
        <v>0</v>
      </c>
      <c t="n" r="C4">
        <f>Assumptions!B35</f>
        <v>2800000</v>
      </c>
      <c t="n" r="D4">
        <f>Assumptions!B16</f>
        <v>3.5326</v>
      </c>
      <c t="n" r="E4">
        <f>Assumptions!B18</f>
        <v>792615.38</v>
      </c>
      <c r="F4" t="n">
        <v>0</v>
      </c>
      <c t="n" r="G4">
        <f>B4+E4+F4</f>
        <v>792615.38</v>
      </c>
      <c t="n" r="H4">
        <f>G4/SUM($G$2:$G$7)</f>
        <v>0.02914807</v>
      </c>
      <c r="I4" t="inlineStr">
        <is>
          <t>Cap-only conversion</t>
        </is>
      </c>
    </row>
    <row r="5">
      <c r="A5" t="inlineStr">
        <is>
          <t>Quorum Ventures — pro-rata primary</t>
        </is>
      </c>
      <c r="B5" t="n">
        <v>0</v>
      </c>
      <c t="n" r="C5">
        <f>Assumptions!B37</f>
        <v>8750000</v>
      </c>
      <c t="n" r="D5">
        <f>Assumptions!B12</f>
        <v>7.8804</v>
      </c>
      <c r="E5" t="n">
        <v>0</v>
      </c>
      <c t="n" r="F5">
        <f>Assumptions!B37/Assumptions!B12</f>
        <v>1110344.83</v>
      </c>
      <c t="n" r="G5">
        <f>B5+E5+F5</f>
        <v>1110344.83</v>
      </c>
      <c t="n" r="H5">
        <f>G5/SUM($G$2:$G$7)</f>
        <v>0.04083243</v>
      </c>
      <c r="I5" t="inlineStr">
        <is>
          <t>Full pro-rata modeling case</t>
        </is>
      </c>
    </row>
    <row r="6">
      <c r="A6" t="inlineStr">
        <is>
          <t>Hartwell Partners — lead primary</t>
        </is>
      </c>
      <c r="B6" t="n">
        <v>0</v>
      </c>
      <c t="n" r="C6">
        <f>Assumptions!B38</f>
        <v>26250000</v>
      </c>
      <c t="n" r="D6">
        <f>Assumptions!B12</f>
        <v>7.8804</v>
      </c>
      <c r="E6" t="n">
        <v>0</v>
      </c>
      <c t="n" r="F6">
        <f>Assumptions!B38/Assumptions!B12</f>
        <v>3331034.48</v>
      </c>
      <c t="n" r="G6">
        <f>B6+E6+F6</f>
        <v>3331034.48</v>
      </c>
      <c t="n" r="H6">
        <f>G6/SUM($G$2:$G$7)</f>
        <v>0.12249728</v>
      </c>
      <c r="I6" t="inlineStr">
        <is>
          <t>Primary remainder</t>
        </is>
      </c>
    </row>
    <row r="7">
      <c r="A7" t="inlineStr">
        <is>
          <t>Incremental option pool refresh</t>
        </is>
      </c>
      <c r="B7" t="n">
        <v>0</v>
      </c>
      <c r="C7" t="n">
        <v>0</v>
      </c>
      <c r="D7" t="n">
        <v>0</v>
      </c>
      <c r="E7" t="n">
        <v>0</v>
      </c>
      <c t="n" r="F7">
        <f>Assumptions!B23</f>
        <v>2013126.55</v>
      </c>
      <c t="n" r="G7">
        <f>B7+E7+F7</f>
        <v>2013126.55</v>
      </c>
      <c t="n" r="H7">
        <f>G7/SUM($G$2:$G$7)</f>
        <v>0.07403182</v>
      </c>
      <c r="I7" t="inlineStr">
        <is>
          <t>12% post-money sponsor case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  <col width="40" customWidth="1" min="3" max="3"/>
  </cols>
  <sheetData>
    <row r="1">
      <c r="A1" s="1" t="inlineStr">
        <is>
          <t>method</t>
        </is>
      </c>
      <c r="B1" s="1" t="inlineStr">
        <is>
          <t>enterprise_value</t>
        </is>
      </c>
      <c r="C1" s="1" t="inlineStr">
        <is>
          <t>basis</t>
        </is>
      </c>
    </row>
    <row r="2">
      <c r="A2" t="inlineStr">
        <is>
          <t>Downside revenue multiple</t>
        </is>
      </c>
      <c t="n" r="B2">
        <f>Assumptions!B8*Assumptions!B31</f>
        <v>96006443.2</v>
      </c>
      <c r="C2" t="inlineStr">
        <is>
          <t>4.0x normalized TTM</t>
        </is>
      </c>
    </row>
    <row r="3">
      <c r="A3" t="inlineStr">
        <is>
          <t>NTM revenue multiple — low</t>
        </is>
      </c>
      <c t="n" r="B3">
        <f>'Revenue Forecast'!C3*Assumptions!B29</f>
        <v>136089133.25</v>
      </c>
      <c r="C3" t="inlineStr">
        <is>
          <t>4.5x Year 1 NTM</t>
        </is>
      </c>
    </row>
    <row r="4">
      <c r="A4" t="inlineStr">
        <is>
          <t>NTM revenue multiple — high</t>
        </is>
      </c>
      <c t="n" r="B4">
        <f>'Revenue Forecast'!C3*Assumptions!B30</f>
        <v>181452177.66</v>
      </c>
      <c r="C4" t="inlineStr">
        <is>
          <t>6.0x Year 1 NTM</t>
        </is>
      </c>
    </row>
    <row r="5">
      <c r="A5" t="inlineStr">
        <is>
          <t>DCF — 13% WACC</t>
        </is>
      </c>
      <c t="n" r="B5">
        <f>SUM('DCF Build'!E2:E6)+'DCF Build'!C6*(1+0.03)/(0.13-0.03)/(1+0.13)^5</f>
        <v>92091024.67</v>
      </c>
      <c r="C5" t="inlineStr">
        <is>
          <t>Five-year FCF plus terminal value</t>
        </is>
      </c>
    </row>
    <row r="6">
      <c r="A6" t="inlineStr">
        <is>
          <t>DCF — 15% WACC</t>
        </is>
      </c>
      <c t="n" r="B6">
        <f>SUM('DCF Build'!G2:G6)+'DCF Build'!C6*(1+0.03)/(0.15-0.03)/(1+0.15)^5</f>
        <v>75724497.75</v>
      </c>
      <c r="C6" t="inlineStr">
        <is>
          <t>Five-year FCF plus terminal value</t>
        </is>
      </c>
    </row>
    <row r="7">
      <c r="A7" t="inlineStr">
        <is>
          <t>Midpoint revenue-multiple valuation</t>
        </is>
      </c>
      <c t="n" r="B7">
        <f>(B3+B4)/2</f>
        <v>158770655.45</v>
      </c>
      <c r="C7" t="inlineStr">
        <is>
          <t>Average of 4.5x–6.0x NTM cases</t>
        </is>
      </c>
    </row>
    <row r="8">
      <c r="A8" t="inlineStr">
        <is>
          <t>Midpoint DCF-implied valuation</t>
        </is>
      </c>
      <c t="n" r="B8">
        <f>(B5+B6)/2</f>
        <v>83907761.21</v>
      </c>
      <c r="C8" t="inlineStr">
        <is>
          <t>Average of 13%–15% WACC cases</t>
        </is>
      </c>
    </row>
    <row r="9">
      <c r="A9" t="inlineStr">
        <is>
          <t>Multiple vs DCF midpoint variance</t>
        </is>
      </c>
      <c t="n" r="B9">
        <f>B7-B8</f>
        <v>74862894.24</v>
      </c>
      <c r="C9" t="inlineStr">
        <is>
          <t>Reconciliation of market and DCF views</t>
        </is>
      </c>
    </row>
    <row r="10">
      <c r="A10" t="inlineStr">
        <is>
          <t>Term-sheet pre-money</t>
        </is>
      </c>
      <c r="B10" t="n">
        <v>145000000</v>
      </c>
      <c r="C10" t="inlineStr">
        <is>
          <t>growth_equity_diligence_brief.txt</t>
        </is>
      </c>
    </row>
    <row r="11">
      <c r="A11" t="inlineStr">
        <is>
          <t>Term-sheet post-money before pool</t>
        </is>
      </c>
      <c r="B11" t="n">
        <v>180000000</v>
      </c>
      <c r="C11" t="inlineStr">
        <is>
          <t>growth_equity_diligence_brief.txt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4" customWidth="1" min="3" max="3"/>
    <col width="55" customWidth="1" min="4" max="4"/>
    <col width="12" customWidth="1" min="5" max="5"/>
    <col width="19" customWidth="1" min="6" max="6"/>
    <col width="18" customWidth="1" min="7" max="7"/>
  </cols>
  <sheetData>
    <row r="1">
      <c r="A1" s="1" t="inlineStr">
        <is>
          <t>net_retention</t>
        </is>
      </c>
      <c r="B1" s="1" t="inlineStr">
        <is>
          <t>fleet_growth</t>
        </is>
      </c>
      <c r="C1" s="1" t="inlineStr">
        <is>
          <t>implied_ntm_value</t>
        </is>
      </c>
      <c r="D1" s="1" t="inlineStr">
        <is>
          <t>method</t>
        </is>
      </c>
      <c r="E1" s="1" t="n"/>
      <c r="F1" s="1" t="inlineStr">
        <is>
          <t>normalized_ttm</t>
        </is>
      </c>
      <c t="n" r="G1" s="1">
        <f>Assumptions!B8</f>
        <v>24001610.8</v>
      </c>
    </row>
    <row r="2">
      <c r="A2" t="n">
        <v>1.04</v>
      </c>
      <c r="B2" t="n">
        <v>0.2</v>
      </c>
      <c t="n" r="C2">
        <f>$G$1*A2*(1+B2)*$G$2</f>
        <v>155760853.45</v>
      </c>
      <c r="D2" t="inlineStr">
        <is>
          <t>Peer-median NTM multiple from Assumptions; NRR and fleet growth varied</t>
        </is>
      </c>
      <c r="F2" t="inlineStr">
        <is>
          <t>selected_multiple</t>
        </is>
      </c>
      <c t="n" r="G2">
        <f>Assumptions!B28</f>
        <v>5.2</v>
      </c>
    </row>
    <row r="3">
      <c r="A3" t="n">
        <v>1.04</v>
      </c>
      <c r="B3" t="n">
        <v>0.26</v>
      </c>
      <c t="n" r="C3">
        <f>$G$1*A3*(1+B3)*$G$2</f>
        <v>163548896.12</v>
      </c>
      <c r="D3" t="inlineStr">
        <is>
          <t>Peer-median NTM multiple from Assumptions; NRR and fleet growth varied</t>
        </is>
      </c>
    </row>
    <row r="4">
      <c r="A4" t="n">
        <v>1.04</v>
      </c>
      <c r="B4" t="n">
        <v>0.32</v>
      </c>
      <c t="n" r="C4">
        <f>$G$1*A4*(1+B4)*$G$2</f>
        <v>171336938.79</v>
      </c>
      <c r="D4" t="inlineStr">
        <is>
          <t>Peer-median NTM multiple from Assumptions; NRR and fleet growth varied</t>
        </is>
      </c>
    </row>
    <row r="5">
      <c r="A5" t="n">
        <v>1.08</v>
      </c>
      <c r="B5" t="n">
        <v>0.2</v>
      </c>
      <c t="n" r="C5">
        <f>$G$1*A5*(1+B5)*$G$2</f>
        <v>161751655.5</v>
      </c>
      <c r="D5" t="inlineStr">
        <is>
          <t>Peer-median NTM multiple from Assumptions; NRR and fleet growth varied</t>
        </is>
      </c>
    </row>
    <row r="6">
      <c r="A6" t="n">
        <v>1.08</v>
      </c>
      <c r="B6" t="n">
        <v>0.26</v>
      </c>
      <c t="n" r="C6">
        <f>$G$1*A6*(1+B6)*$G$2</f>
        <v>169839238.28</v>
      </c>
      <c r="D6" t="inlineStr">
        <is>
          <t>Peer-median NTM multiple from Assumptions; NRR and fleet growth varied</t>
        </is>
      </c>
    </row>
    <row r="7">
      <c r="A7" t="n">
        <v>1.08</v>
      </c>
      <c r="B7" t="n">
        <v>0.32</v>
      </c>
      <c t="n" r="C7">
        <f>$G$1*A7*(1+B7)*$G$2</f>
        <v>177926821.05</v>
      </c>
      <c r="D7" t="inlineStr">
        <is>
          <t>Peer-median NTM multiple from Assumptions; NRR and fleet growth varied</t>
        </is>
      </c>
    </row>
    <row r="8">
      <c r="A8" t="n">
        <v>1.12</v>
      </c>
      <c r="B8" t="n">
        <v>0.2</v>
      </c>
      <c t="n" r="C8">
        <f>$G$1*A8*(1+B8)*$G$2</f>
        <v>167742457.56</v>
      </c>
      <c r="D8" t="inlineStr">
        <is>
          <t>Peer-median NTM multiple from Assumptions; NRR and fleet growth varied</t>
        </is>
      </c>
    </row>
    <row r="9">
      <c r="A9" t="n">
        <v>1.12</v>
      </c>
      <c r="B9" t="n">
        <v>0.26</v>
      </c>
      <c t="n" r="C9">
        <f>$G$1*A9*(1+B9)*$G$2</f>
        <v>176129580.44</v>
      </c>
      <c r="D9" t="inlineStr">
        <is>
          <t>Peer-median NTM multiple from Assumptions; NRR and fleet growth varied</t>
        </is>
      </c>
    </row>
    <row r="10">
      <c r="A10" t="n">
        <v>1.12</v>
      </c>
      <c r="B10" t="n">
        <v>0.32</v>
      </c>
      <c t="n" r="C10">
        <f>$G$1*A10*(1+B10)*$G$2</f>
        <v>184516703.31</v>
      </c>
      <c r="D10" t="inlineStr">
        <is>
          <t>Peer-median NTM multiple from Assumptions; NRR and fleet growth varied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  <col width="27" customWidth="1" min="5" max="5"/>
    <col width="12" customWidth="1" min="6" max="6"/>
    <col width="19" customWidth="1" min="7" max="7"/>
    <col width="32" customWidth="1" min="8" max="8"/>
  </cols>
  <sheetData>
    <row r="1">
      <c r="A1" s="1" t="inlineStr">
        <is>
          <t>case</t>
        </is>
      </c>
      <c r="B1" s="1" t="inlineStr">
        <is>
          <t>target_pct</t>
        </is>
      </c>
      <c r="C1" s="1" t="inlineStr">
        <is>
          <t>existing_available</t>
        </is>
      </c>
      <c r="D1" s="1" t="inlineStr">
        <is>
          <t>fd_before_refresh</t>
        </is>
      </c>
      <c r="E1" s="1" t="inlineStr">
        <is>
          <t>incremental_refresh</t>
        </is>
      </c>
      <c r="F1" s="1" t="inlineStr">
        <is>
          <t>fd_post</t>
        </is>
      </c>
      <c r="G1" s="1" t="inlineStr">
        <is>
          <t>combined_pool_pct</t>
        </is>
      </c>
      <c r="H1" s="1" t="inlineStr">
        <is>
          <t>treatment</t>
        </is>
      </c>
    </row>
    <row r="2">
      <c r="A2" t="inlineStr">
        <is>
          <t>Counsel reference</t>
        </is>
      </c>
      <c r="B2" t="n">
        <v>0.1</v>
      </c>
      <c t="n" r="C2">
        <f>Assumptions!B19</f>
        <v>1250000</v>
      </c>
      <c t="n" r="D2">
        <f>Assumptions!B20</f>
        <v>25179594.69</v>
      </c>
      <c t="n" r="E2">
        <f>MAX((B2*D2-C2)/(1-B2),0)</f>
        <v>1408843.85</v>
      </c>
      <c t="n" r="F2">
        <f>D2+E2</f>
        <v>26588438.54</v>
      </c>
      <c t="n" r="G2">
        <f>(C2+E2)/F2</f>
        <v>0.1</v>
      </c>
      <c r="H2" t="inlineStr">
        <is>
          <t>Alternate only; cap-table note</t>
        </is>
      </c>
    </row>
    <row r="3">
      <c r="A3" t="inlineStr">
        <is>
          <t>Sponsor term sheet</t>
        </is>
      </c>
      <c r="B3" t="n">
        <v>0.12</v>
      </c>
      <c t="n" r="C3">
        <f>Assumptions!B19</f>
        <v>1250000</v>
      </c>
      <c t="n" r="D3">
        <f>Assumptions!B20</f>
        <v>25179594.69</v>
      </c>
      <c t="n" r="E3">
        <f>MAX((B3*D3-C3)/(1-B3),0)</f>
        <v>2013126.55</v>
      </c>
      <c t="n" r="F3">
        <f>D3+E3</f>
        <v>27192721.24</v>
      </c>
      <c t="n" r="G3">
        <f>(C3+E3)/F3</f>
        <v>0.12</v>
      </c>
      <c r="H3" t="inlineStr">
        <is>
          <t>Primary pro forma case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1" t="inlineStr">
        <is>
          <t>Workpaper notes — source conflicts, judgments, and citations</t>
        </is>
      </c>
      <c r="B1" s="1" t="n"/>
    </row>
    <row r="2">
      <c r="A2" s="1" t="inlineStr">
        <is>
          <t>topic</t>
        </is>
      </c>
      <c r="B2" s="1" t="inlineStr">
        <is>
          <t>detail</t>
        </is>
      </c>
    </row>
    <row r="3">
      <c r="A3" t="inlineStr">
        <is>
          <t>ARR bridge — Fleet Rollup TTM</t>
        </is>
      </c>
      <c r="B3" t="inlineStr">
        <is>
          <t>Source: ironclad_fleet_cohort_arr.xlsx / Fleet Rollup. Sum of calendar 2024 fleet_arr = $26,041,610.80. Treatment: used as TTM reference before Footnote 1 exclusion. Cite: growth_equity_diligence_brief.txt (ARR bridge paragraph).</t>
        </is>
      </c>
    </row>
    <row r="4">
      <c r="A4" t="inlineStr">
        <is>
          <t>Fleet Rollup vs Cohort Detail</t>
        </is>
      </c>
      <c r="B4" t="inlineStr">
        <is>
          <t>Sources: growth_equity_diligence_brief.txt — ARR/run-rate methodology (Fleet Rollup vs Cohort Detail recognition guidance); ironclad_fleet_cohort_arr.xlsx — Fleet Rollup (2024 quarterly fleet_arr totals), Cohort Detail (ending_arr by billing cohort), Recognition Bridge (fleet_arr identity), and Definitions (field definitions). Issue: Cohort Detail ending_arr (gross contracted ARR by billing cohort) does not equal Fleet Rollup fleet_arr (finance-recognized subscription ARR) at the quarterly total. Vehicle counts also differ because Fleet Rollup includes onboarding units not yet tagged to a cohort_id. Treatment: board TTM uses Fleet Rollup fleet_arr. Bridge identity on Recognition Bridge: fleet_arr = SUMIF(Cohort Detail ending_arr by calendar_quarter) − IC-2023-02-XP duplicate − recognition_timing_adj. Rationale: contracted billing view vs subscription-ledger recognition; timing adj covers implementation deferrals and multi-year billings not yet in the finance rollup. Consequence: do not substitute the raw Cohort Detail sum for board TTM.</t>
        </is>
      </c>
    </row>
    <row r="5">
      <c r="A5" t="inlineStr">
        <is>
          <t>MetroLink MUNI exclusion vs Cohort Detail</t>
        </is>
      </c>
      <c r="B5" t="inlineStr">
        <is>
          <t>Source: growth_equity_diligence_brief.txt Footnote 1 states $2,040,000 award-year annualized exclusion for MetroLink Transit Authority (pilot_non_recurring). Source schedule: ironclad_fleet_cohort_arr.xlsx / Cohort Detail row IC-MUNI-24 shows higher 2024 ending_arr (Q1 $2,150,160; Q2 $2,182,800; Q3 $2,235,840; Q4 $2,260,320) after mid-pilot vehicle adds and rate schedule. Issue: $2,040,000 cannot be tied to any single IC-MUNI-24 ending_arr cell. Treatment: model subtracts the brief's $2,040,000 from Fleet Rollup TTM (normalized ARR $24,001,610.80). Rationale: Footnote 1 is the governing sponsor/diligence instruction. Consequence: if a reviewer instead excluded current-period IC-MUNI-24 ending_arr (or a TTM average thereof), normalized ARR would be lower by roughly the excess of cohort MUNI over $2,040,000; flag for board/committee review.</t>
        </is>
      </c>
    </row>
    <row r="6">
      <c r="A6" t="inlineStr">
        <is>
          <t>Management headline run-rate</t>
        </is>
      </c>
      <c r="B6" t="inlineStr">
        <is>
          <t>Source: growth_equity_diligence_brief.txt quotes $28,400,000. Issue: exceeds Fleet Rollup TTM. Treatment: disclosed only; not used as valuation base.</t>
        </is>
      </c>
    </row>
    <row r="7">
      <c r="A7" t="inlineStr">
        <is>
          <t>Fiscal vs calendar period labels</t>
        </is>
      </c>
      <c r="B7" t="inlineStr">
        <is>
          <t>Sources: growth_equity_diligence_brief.txt — Footnote 2; ironclad_fleet_cohort_arr.xlsx — Cohort Detail fiscal_month_label vs calendar_quarter columns. Issue: FY25-M01/M04/M07 look like calendar 2025 but map to 2024-Q2/Q3/Q4. Treatment: calendar_quarter governs trailing-period selection on Fleet Cohort Build.</t>
        </is>
      </c>
    </row>
    <row r="8">
      <c r="A8" t="inlineStr">
        <is>
          <t>Duplicate expansion row</t>
        </is>
      </c>
      <c r="B8" t="inlineStr">
        <is>
          <t>Sources: growth_equity_diligence_brief.txt — duplicate expansion / retention guidance; ironclad_fleet_cohort_arr.xlsx — Cohort Detail row IC-2023-02-XP (and Recognition Bridge duplicate column). Issue: repeats IC-2022-04 fleet amendment. Treatment: IC-2023-02-XP is excluded from retention math because it duplicates the prior fleet amendment and is already captured in the earlier row. Implementation: include_in_model = FALSE on Fleet Cohort Build; also removed from the Recognition Bridge duplicate column.</t>
        </is>
      </c>
    </row>
    <row r="9">
      <c r="A9" t="inlineStr">
        <is>
          <t>Convertible note mechanics</t>
        </is>
      </c>
      <c r="B9" t="inlineStr">
        <is>
          <t>Sources: growth_equity_diligence_brief.txt — note conversion order and mechanics; ironclad_cap_table.csv — Octavian Capital and Vesper Growth convertible note rows. Octavian Capital Note A: $4,200,000, $50,000,000 cap, 20% discount — lower of cap price and discounted round price; displayed before Note B. Vesper Growth Note B: $2,800,000, $65,000,000 cap, no discount. Both use the 18,400,000-share pre-money denominator; denominator does not change between notes.</t>
        </is>
      </c>
    </row>
    <row r="10">
      <c r="A10" t="inlineStr">
        <is>
          <t>Option pool 10% vs 12%</t>
        </is>
      </c>
      <c r="B10" t="inlineStr">
        <is>
          <t>Source: ironclad_cap_table.csv counsel note shows 10% available pool; growth_equity_diligence_brief.txt requires 12% post-money at closing. Treatment: Cap Table Pro Forma uses 12% sponsor case (2,013,126.55 incremental shares); Option pool cases also shows the 10% alternate.</t>
        </is>
      </c>
    </row>
    <row r="11">
      <c r="A11" t="inlineStr">
        <is>
          <t>Quorum pro-rata allocation</t>
        </is>
      </c>
      <c r="B11" t="inlineStr">
        <is>
          <t>Source: growth_equity_diligence_brief.txt Primary allocation. Treatment: Quorum Ventures purchases $8,750,000.00 (4,600,000/18,400,000 × $35,000,000); Hartwell Partners takes $26,250,000.00. Modeling convention pending executed subscription documents.</t>
        </is>
      </c>
    </row>
    <row r="12">
      <c r="A12" t="inlineStr">
        <is>
          <t>Forecast and cross-checks</t>
        </is>
      </c>
      <c r="B12" t="inlineStr">
        <is>
          <t>Revenue Forecast: 26%/22%/18%/15%/12% growth and 20% FCF margin from growth_equity_diligence_brief.txt. DCF: 13%–15% WACC, 3% terminal growth. Multiples: 4.5x–6.0x NTM; 4.0x TTM downside; Sensitivity uses Assumptions peer-median 5.2x.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2026-09-04T11:49:08Z</dcterms:created>
  <dcterms:modified xsi:type="dcterms:W3CDTF">2026-09-04T11:49:08Z</dcterms:modified>
</cp:coreProperties>
</file>