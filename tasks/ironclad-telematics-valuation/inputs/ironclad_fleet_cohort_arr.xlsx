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 Detail" sheetId="1" state="visible" r:id="rId1"/>
    <sheet name="Recognition Bridge" sheetId="2" state="visible" r:id="rId2"/>
    <sheet name="Fleet Rollup" sheetId="3" state="visible" r:id="rId3"/>
    <sheet name="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4" customWidth="1" min="4" max="4"/>
    <col width="15" customWidth="1" min="5" max="5"/>
    <col width="21" customWidth="1" min="6" max="6"/>
    <col width="15" customWidth="1" min="7" max="7"/>
    <col width="12" customWidth="1" min="8" max="8"/>
    <col width="12" customWidth="1" min="9" max="9"/>
    <col width="21" customWidth="1" min="10" max="10"/>
    <col width="60" customWidth="1" min="11" max="11"/>
  </cols>
  <sheetData>
    <row r="1">
      <c r="A1" s="1" t="inlineStr">
        <is>
          <t>cohort_id</t>
        </is>
      </c>
      <c r="B1" s="1" t="inlineStr">
        <is>
          <t>fiscal_month_label</t>
        </is>
      </c>
      <c r="C1" s="1" t="inlineStr">
        <is>
          <t>calendar_quarter</t>
        </is>
      </c>
      <c r="D1" s="1" t="inlineStr">
        <is>
          <t>starting_arr</t>
        </is>
      </c>
      <c r="E1" s="1" t="inlineStr">
        <is>
          <t>vehicle_count</t>
        </is>
      </c>
      <c r="F1" s="1" t="inlineStr">
        <is>
          <t>gross_retention_pct</t>
        </is>
      </c>
      <c r="G1" s="1" t="inlineStr">
        <is>
          <t>expansion_arr</t>
        </is>
      </c>
      <c r="H1" s="1" t="inlineStr">
        <is>
          <t>churn_arr</t>
        </is>
      </c>
      <c r="I1" s="1" t="inlineStr">
        <is>
          <t>ending_arr</t>
        </is>
      </c>
      <c r="J1" s="1" t="inlineStr">
        <is>
          <t>revenue_tag</t>
        </is>
      </c>
      <c r="K1" s="1" t="inlineStr">
        <is>
          <t>notes</t>
        </is>
      </c>
    </row>
    <row r="2">
      <c r="A2" t="inlineStr">
        <is>
          <t>IC-2019-01</t>
        </is>
      </c>
      <c r="B2" t="inlineStr">
        <is>
          <t>FY24-M01</t>
        </is>
      </c>
      <c r="C2" t="inlineStr">
        <is>
          <t>2023-Q2</t>
        </is>
      </c>
      <c r="D2" t="n">
        <v>427420</v>
      </c>
      <c r="E2" t="n">
        <v>43</v>
      </c>
      <c r="F2" s="2" t="n">
        <v>93.1</v>
      </c>
      <c r="G2" t="n">
        <v>30814</v>
      </c>
      <c r="H2" t="n">
        <v>17395</v>
      </c>
      <c r="I2" t="n">
        <v>411347.02</v>
      </c>
      <c r="J2" t="inlineStr">
        <is>
          <t>recurring_fleet</t>
        </is>
      </c>
      <c r="K2" t="inlineStr"/>
    </row>
    <row r="3">
      <c r="A3" t="inlineStr">
        <is>
          <t>IC-2019-01</t>
        </is>
      </c>
      <c r="B3" t="inlineStr">
        <is>
          <t>FY24-M04</t>
        </is>
      </c>
      <c r="C3" t="inlineStr">
        <is>
          <t>2023-Q3</t>
        </is>
      </c>
      <c r="D3" t="n">
        <v>414637.8</v>
      </c>
      <c r="E3" t="n">
        <v>48</v>
      </c>
      <c r="F3" s="2" t="n">
        <v>93.1</v>
      </c>
      <c r="G3" t="n">
        <v>31769.23</v>
      </c>
      <c r="H3" t="n">
        <v>17777.69</v>
      </c>
      <c r="I3" t="n">
        <v>400019.33</v>
      </c>
      <c r="J3" t="inlineStr">
        <is>
          <t>recurring_fleet</t>
        </is>
      </c>
      <c r="K3" t="inlineStr"/>
    </row>
    <row r="4">
      <c r="A4" t="inlineStr">
        <is>
          <t>IC-2019-01</t>
        </is>
      </c>
      <c r="B4" t="inlineStr">
        <is>
          <t>FY24-M07</t>
        </is>
      </c>
      <c r="C4" t="inlineStr">
        <is>
          <t>2023-Q4</t>
        </is>
      </c>
      <c r="D4" t="n">
        <v>398419.25</v>
      </c>
      <c r="E4" t="n">
        <v>45</v>
      </c>
      <c r="F4" s="2" t="n">
        <v>93.1</v>
      </c>
      <c r="G4" t="n">
        <v>33525.63</v>
      </c>
      <c r="H4" t="n">
        <v>18577.86</v>
      </c>
      <c r="I4" t="n">
        <v>385876.09</v>
      </c>
      <c r="J4" t="inlineStr">
        <is>
          <t>recurring_fleet</t>
        </is>
      </c>
      <c r="K4" t="inlineStr"/>
    </row>
    <row r="5">
      <c r="A5" t="inlineStr">
        <is>
          <t>IC-2019-01</t>
        </is>
      </c>
      <c r="B5" t="inlineStr">
        <is>
          <t>FY24-M10</t>
        </is>
      </c>
      <c r="C5" t="inlineStr">
        <is>
          <t>2024-Q1</t>
        </is>
      </c>
      <c r="D5" t="n">
        <v>390120.73</v>
      </c>
      <c r="E5" t="n">
        <v>49</v>
      </c>
      <c r="F5" s="2" t="n">
        <v>93.1</v>
      </c>
      <c r="G5" t="n">
        <v>34265.17</v>
      </c>
      <c r="H5" t="n">
        <v>18977.94</v>
      </c>
      <c r="I5" t="n">
        <v>378489.63</v>
      </c>
      <c r="J5" t="inlineStr">
        <is>
          <t>recurring_fleet</t>
        </is>
      </c>
      <c r="K5" t="inlineStr"/>
    </row>
    <row r="6">
      <c r="A6" t="inlineStr">
        <is>
          <t>IC-2019-01</t>
        </is>
      </c>
      <c r="B6" t="inlineStr">
        <is>
          <t>FY25-M01</t>
        </is>
      </c>
      <c r="C6" t="inlineStr">
        <is>
          <t>2024-Q2</t>
        </is>
      </c>
      <c r="D6" t="n">
        <v>375840.2</v>
      </c>
      <c r="E6" t="n">
        <v>44</v>
      </c>
      <c r="F6" s="2" t="n">
        <v>93.1</v>
      </c>
      <c r="G6" t="n">
        <v>36083.19</v>
      </c>
      <c r="H6" t="n">
        <v>19812.9</v>
      </c>
      <c r="I6" t="n">
        <v>366177.52</v>
      </c>
      <c r="J6" t="inlineStr">
        <is>
          <t>recurring_fleet</t>
        </is>
      </c>
      <c r="K6" t="inlineStr"/>
    </row>
    <row r="7">
      <c r="A7" t="inlineStr">
        <is>
          <t>IC-2019-01</t>
        </is>
      </c>
      <c r="B7" t="inlineStr">
        <is>
          <t>FY25-M04</t>
        </is>
      </c>
      <c r="C7" t="inlineStr">
        <is>
          <t>2024-Q3</t>
        </is>
      </c>
      <c r="D7" t="n">
        <v>368008.41</v>
      </c>
      <c r="E7" t="n">
        <v>47</v>
      </c>
      <c r="F7" s="2" t="n">
        <v>93.1</v>
      </c>
      <c r="G7" t="n">
        <v>36915.17</v>
      </c>
      <c r="H7" t="n">
        <v>20039.04</v>
      </c>
      <c r="I7" t="n">
        <v>359491.96</v>
      </c>
      <c r="J7" t="inlineStr">
        <is>
          <t>recurring_fleet</t>
        </is>
      </c>
      <c r="K7" t="inlineStr"/>
    </row>
    <row r="8">
      <c r="A8" t="inlineStr">
        <is>
          <t>IC-2019-01</t>
        </is>
      </c>
      <c r="B8" t="inlineStr">
        <is>
          <t>FY25-M07</t>
        </is>
      </c>
      <c r="C8" t="inlineStr">
        <is>
          <t>2024-Q4</t>
        </is>
      </c>
      <c r="D8" t="n">
        <v>360570.44</v>
      </c>
      <c r="E8" t="n">
        <v>46</v>
      </c>
      <c r="F8" s="2" t="n">
        <v>93.1</v>
      </c>
      <c r="G8" t="n">
        <v>38887.27</v>
      </c>
      <c r="H8" t="n">
        <v>21065.35</v>
      </c>
      <c r="I8" t="n">
        <v>353513</v>
      </c>
      <c r="J8" t="inlineStr">
        <is>
          <t>recurring_fleet</t>
        </is>
      </c>
      <c r="K8" t="inlineStr"/>
    </row>
    <row r="9">
      <c r="A9" t="inlineStr">
        <is>
          <t>IC-2020-02</t>
        </is>
      </c>
      <c r="B9" t="inlineStr">
        <is>
          <t>FY24-M01</t>
        </is>
      </c>
      <c r="C9" t="inlineStr">
        <is>
          <t>2023-Q2</t>
        </is>
      </c>
      <c r="D9" t="n">
        <v>512040</v>
      </c>
      <c r="E9" t="n">
        <v>53</v>
      </c>
      <c r="F9" s="2" t="n">
        <v>92.4</v>
      </c>
      <c r="G9" t="n">
        <v>38152</v>
      </c>
      <c r="H9" t="n">
        <v>19778.8</v>
      </c>
      <c r="I9" t="n">
        <v>491498.16</v>
      </c>
      <c r="J9" t="inlineStr">
        <is>
          <t>recurring_fleet</t>
        </is>
      </c>
      <c r="K9" t="inlineStr"/>
    </row>
    <row r="10">
      <c r="A10" t="inlineStr">
        <is>
          <t>IC-2020-02</t>
        </is>
      </c>
      <c r="B10" t="inlineStr">
        <is>
          <t>FY24-M04</t>
        </is>
      </c>
      <c r="C10" t="inlineStr">
        <is>
          <t>2023-Q3</t>
        </is>
      </c>
      <c r="D10" t="n">
        <v>495430.15</v>
      </c>
      <c r="E10" t="n">
        <v>56</v>
      </c>
      <c r="F10" s="2" t="n">
        <v>92.4</v>
      </c>
      <c r="G10" t="n">
        <v>39906.99</v>
      </c>
      <c r="H10" t="n">
        <v>20728.18</v>
      </c>
      <c r="I10" t="n">
        <v>476956.27</v>
      </c>
      <c r="J10" t="inlineStr">
        <is>
          <t>recurring_fleet</t>
        </is>
      </c>
      <c r="K10" t="inlineStr"/>
    </row>
    <row r="11">
      <c r="A11" t="inlineStr">
        <is>
          <t>IC-2020-02</t>
        </is>
      </c>
      <c r="B11" t="inlineStr">
        <is>
          <t>FY24-M07</t>
        </is>
      </c>
      <c r="C11" t="inlineStr">
        <is>
          <t>2023-Q4</t>
        </is>
      </c>
      <c r="D11" t="n">
        <v>475048.44</v>
      </c>
      <c r="E11" t="n">
        <v>60</v>
      </c>
      <c r="F11" s="2" t="n">
        <v>92.4</v>
      </c>
      <c r="G11" t="n">
        <v>40784.49</v>
      </c>
      <c r="H11" t="n">
        <v>20985.31</v>
      </c>
      <c r="I11" t="n">
        <v>458743.94</v>
      </c>
      <c r="J11" t="inlineStr">
        <is>
          <t>recurring_fleet</t>
        </is>
      </c>
      <c r="K11" t="inlineStr"/>
    </row>
    <row r="12">
      <c r="A12" t="inlineStr">
        <is>
          <t>IC-2020-02</t>
        </is>
      </c>
      <c r="B12" t="inlineStr">
        <is>
          <t>FY24-M10</t>
        </is>
      </c>
      <c r="C12" t="inlineStr">
        <is>
          <t>2024-Q1</t>
        </is>
      </c>
      <c r="D12" t="n">
        <v>463790.12</v>
      </c>
      <c r="E12" t="n">
        <v>55</v>
      </c>
      <c r="F12" s="2" t="n">
        <v>92.4</v>
      </c>
      <c r="G12" t="n">
        <v>43531.43</v>
      </c>
      <c r="H12" t="n">
        <v>22112.7</v>
      </c>
      <c r="I12" t="n">
        <v>449960.8</v>
      </c>
      <c r="J12" t="inlineStr">
        <is>
          <t>recurring_fleet</t>
        </is>
      </c>
      <c r="K12" t="inlineStr"/>
    </row>
    <row r="13">
      <c r="A13" t="inlineStr">
        <is>
          <t>IC-2020-02</t>
        </is>
      </c>
      <c r="B13" t="inlineStr">
        <is>
          <t>FY25-M01</t>
        </is>
      </c>
      <c r="C13" t="inlineStr">
        <is>
          <t>2024-Q2</t>
        </is>
      </c>
      <c r="D13" t="n">
        <v>446811.07</v>
      </c>
      <c r="E13" t="n">
        <v>58</v>
      </c>
      <c r="F13" s="2" t="n">
        <v>92.4</v>
      </c>
      <c r="G13" t="n">
        <v>44180.02</v>
      </c>
      <c r="H13" t="n">
        <v>22429.16</v>
      </c>
      <c r="I13" t="n">
        <v>434604.29</v>
      </c>
      <c r="J13" t="inlineStr">
        <is>
          <t>recurring_fleet</t>
        </is>
      </c>
      <c r="K13" t="inlineStr"/>
    </row>
    <row r="14">
      <c r="A14" t="inlineStr">
        <is>
          <t>IC-2020-02</t>
        </is>
      </c>
      <c r="B14" t="inlineStr">
        <is>
          <t>FY25-M04</t>
        </is>
      </c>
      <c r="C14" t="inlineStr">
        <is>
          <t>2024-Q3</t>
        </is>
      </c>
      <c r="D14" t="n">
        <v>436777.31</v>
      </c>
      <c r="E14" t="n">
        <v>53</v>
      </c>
      <c r="F14" s="2" t="n">
        <v>92.4</v>
      </c>
      <c r="G14" t="n">
        <v>47079.57</v>
      </c>
      <c r="H14" t="n">
        <v>23556.55</v>
      </c>
      <c r="I14" t="n">
        <v>427105.25</v>
      </c>
      <c r="J14" t="inlineStr">
        <is>
          <t>recurring_fleet</t>
        </is>
      </c>
      <c r="K14" t="inlineStr"/>
    </row>
    <row r="15">
      <c r="A15" t="inlineStr">
        <is>
          <t>IC-2020-02</t>
        </is>
      </c>
      <c r="B15" t="inlineStr">
        <is>
          <t>FY25-M07</t>
        </is>
      </c>
      <c r="C15" t="inlineStr">
        <is>
          <t>2024-Q4</t>
        </is>
      </c>
      <c r="D15" t="n">
        <v>428386.57</v>
      </c>
      <c r="E15" t="n">
        <v>57</v>
      </c>
      <c r="F15" s="2" t="n">
        <v>92.4</v>
      </c>
      <c r="G15" t="n">
        <v>47728.15</v>
      </c>
      <c r="H15" t="n">
        <v>23892.79</v>
      </c>
      <c r="I15" t="n">
        <v>419664.55</v>
      </c>
      <c r="J15" t="inlineStr">
        <is>
          <t>recurring_fleet</t>
        </is>
      </c>
      <c r="K15" t="inlineStr"/>
    </row>
    <row r="16">
      <c r="A16" t="inlineStr">
        <is>
          <t>IC-2020-04</t>
        </is>
      </c>
      <c r="B16" t="inlineStr">
        <is>
          <t>FY24-M01</t>
        </is>
      </c>
      <c r="C16" t="inlineStr">
        <is>
          <t>2023-Q2</t>
        </is>
      </c>
      <c r="D16" t="n">
        <v>623100</v>
      </c>
      <c r="E16" t="n">
        <v>62</v>
      </c>
      <c r="F16" s="2" t="n">
        <v>93.8</v>
      </c>
      <c r="G16" t="n">
        <v>47235</v>
      </c>
      <c r="H16" t="n">
        <v>22411.5</v>
      </c>
      <c r="I16" t="n">
        <v>609291.3</v>
      </c>
      <c r="J16" t="inlineStr">
        <is>
          <t>recurring_fleet</t>
        </is>
      </c>
      <c r="K16" t="inlineStr"/>
    </row>
    <row r="17">
      <c r="A17" t="inlineStr">
        <is>
          <t>IC-2020-04</t>
        </is>
      </c>
      <c r="B17" t="inlineStr">
        <is>
          <t>FY24-M04</t>
        </is>
      </c>
      <c r="C17" t="inlineStr">
        <is>
          <t>2023-Q3</t>
        </is>
      </c>
      <c r="D17" t="n">
        <v>614165.63</v>
      </c>
      <c r="E17" t="n">
        <v>66</v>
      </c>
      <c r="F17" s="2" t="n">
        <v>93.8</v>
      </c>
      <c r="G17" t="n">
        <v>48132.46</v>
      </c>
      <c r="H17" t="n">
        <v>22747.67</v>
      </c>
      <c r="I17" t="n">
        <v>601472.15</v>
      </c>
      <c r="J17" t="inlineStr">
        <is>
          <t>recurring_fleet</t>
        </is>
      </c>
      <c r="K17" t="inlineStr"/>
    </row>
    <row r="18">
      <c r="A18" t="inlineStr">
        <is>
          <t>IC-2020-04</t>
        </is>
      </c>
      <c r="B18" t="inlineStr">
        <is>
          <t>FY24-M07</t>
        </is>
      </c>
      <c r="C18" t="inlineStr">
        <is>
          <t>2023-Q4</t>
        </is>
      </c>
      <c r="D18" t="n">
        <v>599066.26</v>
      </c>
      <c r="E18" t="n">
        <v>63</v>
      </c>
      <c r="F18" s="2" t="n">
        <v>93.8</v>
      </c>
      <c r="G18" t="n">
        <v>51202.74</v>
      </c>
      <c r="H18" t="n">
        <v>24069.95</v>
      </c>
      <c r="I18" t="n">
        <v>589056.94</v>
      </c>
      <c r="J18" t="inlineStr">
        <is>
          <t>recurring_fleet</t>
        </is>
      </c>
      <c r="K18" t="inlineStr"/>
    </row>
    <row r="19">
      <c r="A19" t="inlineStr">
        <is>
          <t>IC-2020-04</t>
        </is>
      </c>
      <c r="B19" t="inlineStr">
        <is>
          <t>FY24-M10</t>
        </is>
      </c>
      <c r="C19" t="inlineStr">
        <is>
          <t>2024-Q1</t>
        </is>
      </c>
      <c r="D19" t="n">
        <v>595536.57</v>
      </c>
      <c r="E19" t="n">
        <v>65</v>
      </c>
      <c r="F19" s="2" t="n">
        <v>93.8</v>
      </c>
      <c r="G19" t="n">
        <v>52005.74</v>
      </c>
      <c r="H19" t="n">
        <v>24563</v>
      </c>
      <c r="I19" t="n">
        <v>586056.04</v>
      </c>
      <c r="J19" t="inlineStr">
        <is>
          <t>recurring_fleet</t>
        </is>
      </c>
      <c r="K19" t="inlineStr"/>
    </row>
    <row r="20">
      <c r="A20" t="inlineStr">
        <is>
          <t>IC-2020-04</t>
        </is>
      </c>
      <c r="B20" t="inlineStr">
        <is>
          <t>FY25-M01</t>
        </is>
      </c>
      <c r="C20" t="inlineStr">
        <is>
          <t>2024-Q2</t>
        </is>
      </c>
      <c r="D20" t="n">
        <v>581953.65</v>
      </c>
      <c r="E20" t="n">
        <v>68</v>
      </c>
      <c r="F20" s="2" t="n">
        <v>93.8</v>
      </c>
      <c r="G20" t="n">
        <v>56020.71</v>
      </c>
      <c r="H20" t="n">
        <v>25280.17</v>
      </c>
      <c r="I20" t="n">
        <v>576613.06</v>
      </c>
      <c r="J20" t="inlineStr">
        <is>
          <t>recurring_fleet</t>
        </is>
      </c>
      <c r="K20" t="inlineStr"/>
    </row>
    <row r="21">
      <c r="A21" t="inlineStr">
        <is>
          <t>IC-2020-04</t>
        </is>
      </c>
      <c r="B21" t="inlineStr">
        <is>
          <t>FY25-M04</t>
        </is>
      </c>
      <c r="C21" t="inlineStr">
        <is>
          <t>2024-Q3</t>
        </is>
      </c>
      <c r="D21" t="n">
        <v>579496.13</v>
      </c>
      <c r="E21" t="n">
        <v>64</v>
      </c>
      <c r="F21" s="2" t="n">
        <v>93.8</v>
      </c>
      <c r="G21" t="n">
        <v>57107.12</v>
      </c>
      <c r="H21" t="n">
        <v>26557.63</v>
      </c>
      <c r="I21" t="n">
        <v>574116.86</v>
      </c>
      <c r="J21" t="inlineStr">
        <is>
          <t>recurring_fleet</t>
        </is>
      </c>
      <c r="K21" t="inlineStr"/>
    </row>
    <row r="22">
      <c r="A22" t="inlineStr">
        <is>
          <t>IC-2020-04</t>
        </is>
      </c>
      <c r="B22" t="inlineStr">
        <is>
          <t>FY25-M07</t>
        </is>
      </c>
      <c r="C22" t="inlineStr">
        <is>
          <t>2024-Q4</t>
        </is>
      </c>
      <c r="D22" t="n">
        <v>575839.21</v>
      </c>
      <c r="E22" t="n">
        <v>67</v>
      </c>
      <c r="F22" s="2" t="n">
        <v>93.8</v>
      </c>
      <c r="G22" t="n">
        <v>59893.98</v>
      </c>
      <c r="H22" t="n">
        <v>27543.73</v>
      </c>
      <c r="I22" t="n">
        <v>572487.43</v>
      </c>
      <c r="J22" t="inlineStr">
        <is>
          <t>recurring_fleet</t>
        </is>
      </c>
      <c r="K22" t="inlineStr"/>
    </row>
    <row r="23">
      <c r="A23" t="inlineStr">
        <is>
          <t>IC-2021-01</t>
        </is>
      </c>
      <c r="B23" t="inlineStr">
        <is>
          <t>FY24-M01</t>
        </is>
      </c>
      <c r="C23" t="inlineStr">
        <is>
          <t>2023-Q2</t>
        </is>
      </c>
      <c r="D23" t="n">
        <v>739410</v>
      </c>
      <c r="E23" t="n">
        <v>73</v>
      </c>
      <c r="F23" s="2" t="n">
        <v>94.7</v>
      </c>
      <c r="G23" t="n">
        <v>55330</v>
      </c>
      <c r="H23" t="n">
        <v>26256.6</v>
      </c>
      <c r="I23" t="n">
        <v>729294.67</v>
      </c>
      <c r="J23" t="inlineStr">
        <is>
          <t>recurring_fleet</t>
        </is>
      </c>
      <c r="K23" t="inlineStr"/>
    </row>
    <row r="24">
      <c r="A24" t="inlineStr">
        <is>
          <t>IC-2021-01</t>
        </is>
      </c>
      <c r="B24" t="inlineStr">
        <is>
          <t>FY24-M04</t>
        </is>
      </c>
      <c r="C24" t="inlineStr">
        <is>
          <t>2023-Q3</t>
        </is>
      </c>
      <c r="D24" t="n">
        <v>735129.03</v>
      </c>
      <c r="E24" t="n">
        <v>75</v>
      </c>
      <c r="F24" s="2" t="n">
        <v>94.7</v>
      </c>
      <c r="G24" t="n">
        <v>57045.23</v>
      </c>
      <c r="H24" t="n">
        <v>26834.25</v>
      </c>
      <c r="I24" t="n">
        <v>726378.17</v>
      </c>
      <c r="J24" t="inlineStr">
        <is>
          <t>recurring_fleet</t>
        </is>
      </c>
      <c r="K24" t="inlineStr"/>
    </row>
    <row r="25">
      <c r="A25" t="inlineStr">
        <is>
          <t>IC-2021-01</t>
        </is>
      </c>
      <c r="B25" t="inlineStr">
        <is>
          <t>FY24-M07</t>
        </is>
      </c>
      <c r="C25" t="inlineStr">
        <is>
          <t>2023-Q4</t>
        </is>
      </c>
      <c r="D25" t="n">
        <v>723472.66</v>
      </c>
      <c r="E25" t="n">
        <v>78</v>
      </c>
      <c r="F25" s="2" t="n">
        <v>94.7</v>
      </c>
      <c r="G25" t="n">
        <v>60199.04</v>
      </c>
      <c r="H25" t="n">
        <v>28042.05</v>
      </c>
      <c r="I25" t="n">
        <v>717285.6</v>
      </c>
      <c r="J25" t="inlineStr">
        <is>
          <t>recurring_fleet</t>
        </is>
      </c>
      <c r="K25" t="inlineStr"/>
    </row>
    <row r="26">
      <c r="A26" t="inlineStr">
        <is>
          <t>IC-2021-01</t>
        </is>
      </c>
      <c r="B26" t="inlineStr">
        <is>
          <t>FY24-M10</t>
        </is>
      </c>
      <c r="C26" t="inlineStr">
        <is>
          <t>2024-Q1</t>
        </is>
      </c>
      <c r="D26" t="n">
        <v>725175.74</v>
      </c>
      <c r="E26" t="n">
        <v>74</v>
      </c>
      <c r="F26" s="2" t="n">
        <v>94.7</v>
      </c>
      <c r="G26" t="n">
        <v>61526.96</v>
      </c>
      <c r="H26" t="n">
        <v>28645.95</v>
      </c>
      <c r="I26" t="n">
        <v>719622.44</v>
      </c>
      <c r="J26" t="inlineStr">
        <is>
          <t>recurring_fleet</t>
        </is>
      </c>
      <c r="K26" t="inlineStr"/>
    </row>
    <row r="27">
      <c r="A27" t="inlineStr">
        <is>
          <t>IC-2021-01</t>
        </is>
      </c>
      <c r="B27" t="inlineStr">
        <is>
          <t>FY25-M01</t>
        </is>
      </c>
      <c r="C27" t="inlineStr">
        <is>
          <t>2024-Q2</t>
        </is>
      </c>
      <c r="D27" t="n">
        <v>714585.08</v>
      </c>
      <c r="E27" t="n">
        <v>77</v>
      </c>
      <c r="F27" s="2" t="n">
        <v>94.7</v>
      </c>
      <c r="G27" t="n">
        <v>64791.43</v>
      </c>
      <c r="H27" t="n">
        <v>29906.27</v>
      </c>
      <c r="I27" t="n">
        <v>711597.23</v>
      </c>
      <c r="J27" t="inlineStr">
        <is>
          <t>recurring_fleet</t>
        </is>
      </c>
      <c r="K27" t="inlineStr"/>
    </row>
    <row r="28">
      <c r="A28" t="inlineStr">
        <is>
          <t>IC-2021-01</t>
        </is>
      </c>
      <c r="B28" t="inlineStr">
        <is>
          <t>FY25-M04</t>
        </is>
      </c>
      <c r="C28" t="inlineStr">
        <is>
          <t>2024-Q3</t>
        </is>
      </c>
      <c r="D28" t="n">
        <v>715155.22</v>
      </c>
      <c r="E28" t="n">
        <v>72</v>
      </c>
      <c r="F28" s="2" t="n">
        <v>94.7</v>
      </c>
      <c r="G28" t="n">
        <v>66285.34</v>
      </c>
      <c r="H28" t="n">
        <v>30247.6</v>
      </c>
      <c r="I28" t="n">
        <v>713289.73</v>
      </c>
      <c r="J28" t="inlineStr">
        <is>
          <t>recurring_fleet</t>
        </is>
      </c>
      <c r="K28" t="inlineStr"/>
    </row>
    <row r="29">
      <c r="A29" t="inlineStr">
        <is>
          <t>IC-2021-01</t>
        </is>
      </c>
      <c r="B29" t="inlineStr">
        <is>
          <t>FY25-M07</t>
        </is>
      </c>
      <c r="C29" t="inlineStr">
        <is>
          <t>2024-Q4</t>
        </is>
      </c>
      <c r="D29" t="n">
        <v>715429.6</v>
      </c>
      <c r="E29" t="n">
        <v>76</v>
      </c>
      <c r="F29" s="2" t="n">
        <v>94.7</v>
      </c>
      <c r="G29" t="n">
        <v>69826.46</v>
      </c>
      <c r="H29" t="n">
        <v>31796.74</v>
      </c>
      <c r="I29" t="n">
        <v>715541.55</v>
      </c>
      <c r="J29" t="inlineStr">
        <is>
          <t>recurring_fleet</t>
        </is>
      </c>
      <c r="K29" t="inlineStr"/>
    </row>
    <row r="30">
      <c r="A30" t="inlineStr">
        <is>
          <t>IC-2021-03</t>
        </is>
      </c>
      <c r="B30" t="inlineStr">
        <is>
          <t>FY24-M01</t>
        </is>
      </c>
      <c r="C30" t="inlineStr">
        <is>
          <t>2023-Q2</t>
        </is>
      </c>
      <c r="D30" t="n">
        <v>878840</v>
      </c>
      <c r="E30" t="n">
        <v>88</v>
      </c>
      <c r="F30" s="2" t="n">
        <v>94.1</v>
      </c>
      <c r="G30" t="n">
        <v>70104</v>
      </c>
      <c r="H30" t="n">
        <v>32308.8</v>
      </c>
      <c r="I30" t="n">
        <v>864783.64</v>
      </c>
      <c r="J30" t="inlineStr">
        <is>
          <t>recurring_fleet</t>
        </is>
      </c>
      <c r="K30" t="inlineStr"/>
    </row>
    <row r="31">
      <c r="A31" t="inlineStr">
        <is>
          <t>IC-2021-03</t>
        </is>
      </c>
      <c r="B31" t="inlineStr">
        <is>
          <t>FY24-M04</t>
        </is>
      </c>
      <c r="C31" t="inlineStr">
        <is>
          <t>2023-Q3</t>
        </is>
      </c>
      <c r="D31" t="n">
        <v>871701.91</v>
      </c>
      <c r="E31" t="n">
        <v>93</v>
      </c>
      <c r="F31" s="2" t="n">
        <v>94.1</v>
      </c>
      <c r="G31" t="n">
        <v>73328.78</v>
      </c>
      <c r="H31" t="n">
        <v>33859.62</v>
      </c>
      <c r="I31" t="n">
        <v>859740.66</v>
      </c>
      <c r="J31" t="inlineStr">
        <is>
          <t>recurring_fleet</t>
        </is>
      </c>
      <c r="K31" t="inlineStr"/>
    </row>
    <row r="32">
      <c r="A32" t="inlineStr">
        <is>
          <t>IC-2021-03</t>
        </is>
      </c>
      <c r="B32" t="inlineStr">
        <is>
          <t>FY24-M07</t>
        </is>
      </c>
      <c r="C32" t="inlineStr">
        <is>
          <t>2023-Q4</t>
        </is>
      </c>
      <c r="D32" t="n">
        <v>856301.7</v>
      </c>
      <c r="E32" t="n">
        <v>90</v>
      </c>
      <c r="F32" s="2" t="n">
        <v>94.1</v>
      </c>
      <c r="G32" t="n">
        <v>74941.18</v>
      </c>
      <c r="H32" t="n">
        <v>34279.64</v>
      </c>
      <c r="I32" t="n">
        <v>846441.44</v>
      </c>
      <c r="J32" t="inlineStr">
        <is>
          <t>recurring_fleet</t>
        </is>
      </c>
      <c r="K32" t="inlineStr"/>
    </row>
    <row r="33">
      <c r="A33" t="inlineStr">
        <is>
          <t>IC-2021-03</t>
        </is>
      </c>
      <c r="B33" t="inlineStr">
        <is>
          <t>FY24-M10</t>
        </is>
      </c>
      <c r="C33" t="inlineStr">
        <is>
          <t>2024-Q1</t>
        </is>
      </c>
      <c r="D33" t="n">
        <v>855752.3</v>
      </c>
      <c r="E33" t="n">
        <v>94</v>
      </c>
      <c r="F33" s="2" t="n">
        <v>94.1</v>
      </c>
      <c r="G33" t="n">
        <v>79988.66</v>
      </c>
      <c r="H33" t="n">
        <v>36121.24</v>
      </c>
      <c r="I33" t="n">
        <v>849130.33</v>
      </c>
      <c r="J33" t="inlineStr">
        <is>
          <t>recurring_fleet</t>
        </is>
      </c>
      <c r="K33" t="inlineStr"/>
    </row>
    <row r="34">
      <c r="A34" t="inlineStr">
        <is>
          <t>IC-2021-03</t>
        </is>
      </c>
      <c r="B34" t="inlineStr">
        <is>
          <t>FY25-M01</t>
        </is>
      </c>
      <c r="C34" t="inlineStr">
        <is>
          <t>2024-Q2</t>
        </is>
      </c>
      <c r="D34" t="n">
        <v>843186.42</v>
      </c>
      <c r="E34" t="n">
        <v>89</v>
      </c>
      <c r="F34" s="2" t="n">
        <v>94.1</v>
      </c>
      <c r="G34" t="n">
        <v>81180.43</v>
      </c>
      <c r="H34" t="n">
        <v>36638.18</v>
      </c>
      <c r="I34" t="n">
        <v>837980.67</v>
      </c>
      <c r="J34" t="inlineStr">
        <is>
          <t>recurring_fleet</t>
        </is>
      </c>
      <c r="K34" t="inlineStr"/>
    </row>
    <row r="35">
      <c r="A35" t="inlineStr">
        <is>
          <t>IC-2021-03</t>
        </is>
      </c>
      <c r="B35" t="inlineStr">
        <is>
          <t>FY25-M04</t>
        </is>
      </c>
      <c r="C35" t="inlineStr">
        <is>
          <t>2024-Q3</t>
        </is>
      </c>
      <c r="D35" t="n">
        <v>842170.57</v>
      </c>
      <c r="E35" t="n">
        <v>92</v>
      </c>
      <c r="F35" s="2" t="n">
        <v>94.1</v>
      </c>
      <c r="G35" t="n">
        <v>86508.34</v>
      </c>
      <c r="H35" t="n">
        <v>38479.78</v>
      </c>
      <c r="I35" t="n">
        <v>840511.07</v>
      </c>
      <c r="J35" t="inlineStr">
        <is>
          <t>recurring_fleet</t>
        </is>
      </c>
      <c r="K35" t="inlineStr"/>
    </row>
    <row r="36">
      <c r="A36" t="inlineStr">
        <is>
          <t>IC-2021-03</t>
        </is>
      </c>
      <c r="B36" t="inlineStr">
        <is>
          <t>FY25-M07</t>
        </is>
      </c>
      <c r="C36" t="inlineStr">
        <is>
          <t>2024-Q4</t>
        </is>
      </c>
      <c r="D36" t="n">
        <v>843032.6</v>
      </c>
      <c r="E36" t="n">
        <v>91</v>
      </c>
      <c r="F36" s="2" t="n">
        <v>94.1</v>
      </c>
      <c r="G36" t="n">
        <v>87700.1</v>
      </c>
      <c r="H36" t="n">
        <v>39029.03</v>
      </c>
      <c r="I36" t="n">
        <v>841964.75</v>
      </c>
      <c r="J36" t="inlineStr">
        <is>
          <t>recurring_fleet</t>
        </is>
      </c>
      <c r="K36" t="inlineStr"/>
    </row>
    <row r="37">
      <c r="A37" t="inlineStr">
        <is>
          <t>IC-2022-01</t>
        </is>
      </c>
      <c r="B37" t="inlineStr">
        <is>
          <t>FY24-M01</t>
        </is>
      </c>
      <c r="C37" t="inlineStr">
        <is>
          <t>2023-Q2</t>
        </is>
      </c>
      <c r="D37" t="n">
        <v>1016940</v>
      </c>
      <c r="E37" t="n">
        <v>102</v>
      </c>
      <c r="F37" s="2" t="n">
        <v>95.3</v>
      </c>
      <c r="G37" t="n">
        <v>81754</v>
      </c>
      <c r="H37" t="n">
        <v>35493.2</v>
      </c>
      <c r="I37" t="n">
        <v>1015404.62</v>
      </c>
      <c r="J37" t="inlineStr">
        <is>
          <t>recurring_fleet</t>
        </is>
      </c>
      <c r="K37" t="inlineStr"/>
    </row>
    <row r="38">
      <c r="A38" t="inlineStr">
        <is>
          <t>IC-2022-01</t>
        </is>
      </c>
      <c r="B38" t="inlineStr">
        <is>
          <t>FY24-M04</t>
        </is>
      </c>
      <c r="C38" t="inlineStr">
        <is>
          <t>2023-Q3</t>
        </is>
      </c>
      <c r="D38" t="n">
        <v>1023527.86</v>
      </c>
      <c r="E38" t="n">
        <v>105</v>
      </c>
      <c r="F38" s="2" t="n">
        <v>95.3</v>
      </c>
      <c r="G38" t="n">
        <v>83307.33</v>
      </c>
      <c r="H38" t="n">
        <v>36025.6</v>
      </c>
      <c r="I38" t="n">
        <v>1022703.78</v>
      </c>
      <c r="J38" t="inlineStr">
        <is>
          <t>recurring_fleet</t>
        </is>
      </c>
      <c r="K38" t="inlineStr"/>
    </row>
    <row r="39">
      <c r="A39" t="inlineStr">
        <is>
          <t>IC-2022-01</t>
        </is>
      </c>
      <c r="B39" t="inlineStr">
        <is>
          <t>FY24-M07</t>
        </is>
      </c>
      <c r="C39" t="inlineStr">
        <is>
          <t>2023-Q4</t>
        </is>
      </c>
      <c r="D39" t="n">
        <v>1018612.96</v>
      </c>
      <c r="E39" t="n">
        <v>109</v>
      </c>
      <c r="F39" s="2" t="n">
        <v>95.3</v>
      </c>
      <c r="G39" t="n">
        <v>88621.34</v>
      </c>
      <c r="H39" t="n">
        <v>38119.7</v>
      </c>
      <c r="I39" t="n">
        <v>1021239.79</v>
      </c>
      <c r="J39" t="inlineStr">
        <is>
          <t>recurring_fleet</t>
        </is>
      </c>
      <c r="K39" t="inlineStr"/>
    </row>
    <row r="40">
      <c r="A40" t="inlineStr">
        <is>
          <t>IC-2022-01</t>
        </is>
      </c>
      <c r="B40" t="inlineStr">
        <is>
          <t>FY24-M10</t>
        </is>
      </c>
      <c r="C40" t="inlineStr">
        <is>
          <t>2024-Q1</t>
        </is>
      </c>
      <c r="D40" t="n">
        <v>1032473.43</v>
      </c>
      <c r="E40" t="n">
        <v>104</v>
      </c>
      <c r="F40" s="2" t="n">
        <v>95.3</v>
      </c>
      <c r="G40" t="n">
        <v>90011.15</v>
      </c>
      <c r="H40" t="n">
        <v>38900.55</v>
      </c>
      <c r="I40" t="n">
        <v>1035057.78</v>
      </c>
      <c r="J40" t="inlineStr">
        <is>
          <t>recurring_fleet</t>
        </is>
      </c>
      <c r="K40" t="inlineStr"/>
    </row>
    <row r="41">
      <c r="A41" t="inlineStr">
        <is>
          <t>IC-2022-01</t>
        </is>
      </c>
      <c r="B41" t="inlineStr">
        <is>
          <t>FY25-M01</t>
        </is>
      </c>
      <c r="C41" t="inlineStr">
        <is>
          <t>2024-Q2</t>
        </is>
      </c>
      <c r="D41" t="n">
        <v>1027812.38</v>
      </c>
      <c r="E41" t="n">
        <v>107</v>
      </c>
      <c r="F41" s="2" t="n">
        <v>95.3</v>
      </c>
      <c r="G41" t="n">
        <v>96960.24</v>
      </c>
      <c r="H41" t="n">
        <v>40036.33</v>
      </c>
      <c r="I41" t="n">
        <v>1036429.11</v>
      </c>
      <c r="J41" t="inlineStr">
        <is>
          <t>recurring_fleet</t>
        </is>
      </c>
      <c r="K41" t="inlineStr"/>
    </row>
    <row r="42">
      <c r="A42" t="inlineStr">
        <is>
          <t>IC-2022-01</t>
        </is>
      </c>
      <c r="B42" t="inlineStr">
        <is>
          <t>FY25-M04</t>
        </is>
      </c>
      <c r="C42" t="inlineStr">
        <is>
          <t>2024-Q3</t>
        </is>
      </c>
      <c r="D42" t="n">
        <v>1041611.26</v>
      </c>
      <c r="E42" t="n">
        <v>102</v>
      </c>
      <c r="F42" s="2" t="n">
        <v>95.3</v>
      </c>
      <c r="G42" t="n">
        <v>98840.59</v>
      </c>
      <c r="H42" t="n">
        <v>42059.44</v>
      </c>
      <c r="I42" t="n">
        <v>1049436.68</v>
      </c>
      <c r="J42" t="inlineStr">
        <is>
          <t>recurring_fleet</t>
        </is>
      </c>
      <c r="K42" t="inlineStr"/>
    </row>
    <row r="43">
      <c r="A43" t="inlineStr">
        <is>
          <t>IC-2022-01</t>
        </is>
      </c>
      <c r="B43" t="inlineStr">
        <is>
          <t>FY25-M07</t>
        </is>
      </c>
      <c r="C43" t="inlineStr">
        <is>
          <t>2024-Q4</t>
        </is>
      </c>
      <c r="D43" t="n">
        <v>1052584.99</v>
      </c>
      <c r="E43" t="n">
        <v>106</v>
      </c>
      <c r="F43" s="2" t="n">
        <v>95.3</v>
      </c>
      <c r="G43" t="n">
        <v>103664.07</v>
      </c>
      <c r="H43" t="n">
        <v>43621.14</v>
      </c>
      <c r="I43" t="n">
        <v>1063156.43</v>
      </c>
      <c r="J43" t="inlineStr">
        <is>
          <t>recurring_fleet</t>
        </is>
      </c>
      <c r="K43" t="inlineStr"/>
    </row>
    <row r="44">
      <c r="A44" t="inlineStr">
        <is>
          <t>IC-2022-04</t>
        </is>
      </c>
      <c r="B44" t="inlineStr">
        <is>
          <t>FY24-M01</t>
        </is>
      </c>
      <c r="C44" t="inlineStr">
        <is>
          <t>2023-Q2</t>
        </is>
      </c>
      <c r="D44" t="n">
        <v>1177640</v>
      </c>
      <c r="E44" t="n">
        <v>115</v>
      </c>
      <c r="F44" s="2" t="n">
        <v>94.9</v>
      </c>
      <c r="G44" t="n">
        <v>95808</v>
      </c>
      <c r="H44" t="n">
        <v>39321.2</v>
      </c>
      <c r="I44" t="n">
        <v>1174067.16</v>
      </c>
      <c r="J44" t="inlineStr">
        <is>
          <t>recurring_fleet</t>
        </is>
      </c>
      <c r="K44" t="inlineStr"/>
    </row>
    <row r="45">
      <c r="A45" t="inlineStr">
        <is>
          <t>IC-2022-04</t>
        </is>
      </c>
      <c r="B45" t="inlineStr">
        <is>
          <t>FY24-M04</t>
        </is>
      </c>
      <c r="C45" t="inlineStr">
        <is>
          <t>2023-Q3</t>
        </is>
      </c>
      <c r="D45" t="n">
        <v>1183459.7</v>
      </c>
      <c r="E45" t="n">
        <v>119</v>
      </c>
      <c r="F45" s="2" t="n">
        <v>94.9</v>
      </c>
      <c r="G45" t="n">
        <v>98778.05</v>
      </c>
      <c r="H45" t="n">
        <v>40186.27</v>
      </c>
      <c r="I45" t="n">
        <v>1181695.04</v>
      </c>
      <c r="J45" t="inlineStr">
        <is>
          <t>recurring_fleet</t>
        </is>
      </c>
      <c r="K45" t="inlineStr"/>
    </row>
    <row r="46">
      <c r="A46" t="inlineStr">
        <is>
          <t>IC-2022-04</t>
        </is>
      </c>
      <c r="B46" t="inlineStr">
        <is>
          <t>FY24-M07</t>
        </is>
      </c>
      <c r="C46" t="inlineStr">
        <is>
          <t>2023-Q4</t>
        </is>
      </c>
      <c r="D46" t="n">
        <v>1176968.26</v>
      </c>
      <c r="E46" t="n">
        <v>116</v>
      </c>
      <c r="F46" s="2" t="n">
        <v>94.9</v>
      </c>
      <c r="G46" t="n">
        <v>104239.1</v>
      </c>
      <c r="H46" t="n">
        <v>41995.04</v>
      </c>
      <c r="I46" t="n">
        <v>1179186.94</v>
      </c>
      <c r="J46" t="inlineStr">
        <is>
          <t>recurring_fleet</t>
        </is>
      </c>
      <c r="K46" t="inlineStr"/>
    </row>
    <row r="47">
      <c r="A47" t="inlineStr">
        <is>
          <t>IC-2022-04</t>
        </is>
      </c>
      <c r="B47" t="inlineStr">
        <is>
          <t>FY24-M10</t>
        </is>
      </c>
      <c r="C47" t="inlineStr">
        <is>
          <t>2024-Q1</t>
        </is>
      </c>
      <c r="D47" t="n">
        <v>1192158</v>
      </c>
      <c r="E47" t="n">
        <v>118</v>
      </c>
      <c r="F47" s="2" t="n">
        <v>94.9</v>
      </c>
      <c r="G47" t="n">
        <v>106538.5</v>
      </c>
      <c r="H47" t="n">
        <v>42899.43</v>
      </c>
      <c r="I47" t="n">
        <v>1194997.01</v>
      </c>
      <c r="J47" t="inlineStr">
        <is>
          <t>recurring_fleet</t>
        </is>
      </c>
      <c r="K47" t="inlineStr"/>
    </row>
    <row r="48">
      <c r="A48" t="inlineStr">
        <is>
          <t>IC-2022-04</t>
        </is>
      </c>
      <c r="B48" t="inlineStr">
        <is>
          <t>FY25-M01</t>
        </is>
      </c>
      <c r="C48" t="inlineStr">
        <is>
          <t>2024-Q2</t>
        </is>
      </c>
      <c r="D48" t="n">
        <v>1186632.03</v>
      </c>
      <c r="E48" t="n">
        <v>121</v>
      </c>
      <c r="F48" s="2" t="n">
        <v>94.9</v>
      </c>
      <c r="G48" t="n">
        <v>112191.17</v>
      </c>
      <c r="H48" t="n">
        <v>44786.85</v>
      </c>
      <c r="I48" t="n">
        <v>1193518.12</v>
      </c>
      <c r="J48" t="inlineStr">
        <is>
          <t>recurring_fleet</t>
        </is>
      </c>
      <c r="K48" t="inlineStr"/>
    </row>
    <row r="49">
      <c r="A49" t="inlineStr">
        <is>
          <t>IC-2022-04</t>
        </is>
      </c>
      <c r="B49" t="inlineStr">
        <is>
          <t>FY25-M04</t>
        </is>
      </c>
      <c r="C49" t="inlineStr">
        <is>
          <t>2024-Q3</t>
        </is>
      </c>
      <c r="D49" t="n">
        <v>1199485.71</v>
      </c>
      <c r="E49" t="n">
        <v>117</v>
      </c>
      <c r="F49" s="2" t="n">
        <v>94.9</v>
      </c>
      <c r="G49" t="n">
        <v>114777.98</v>
      </c>
      <c r="H49" t="n">
        <v>45298.02</v>
      </c>
      <c r="I49" t="n">
        <v>1207791.9</v>
      </c>
      <c r="J49" t="inlineStr">
        <is>
          <t>recurring_fleet</t>
        </is>
      </c>
      <c r="K49" t="inlineStr"/>
    </row>
    <row r="50">
      <c r="A50" t="inlineStr">
        <is>
          <t>IC-2022-04</t>
        </is>
      </c>
      <c r="B50" t="inlineStr">
        <is>
          <t>FY25-M07</t>
        </is>
      </c>
      <c r="C50" t="inlineStr">
        <is>
          <t>2024-Q4</t>
        </is>
      </c>
      <c r="D50" t="n">
        <v>1211415.28</v>
      </c>
      <c r="E50" t="n">
        <v>120</v>
      </c>
      <c r="F50" s="2" t="n">
        <v>94.9</v>
      </c>
      <c r="G50" t="n">
        <v>120909.7</v>
      </c>
      <c r="H50" t="n">
        <v>47617.97</v>
      </c>
      <c r="I50" t="n">
        <v>1222924.83</v>
      </c>
      <c r="J50" t="inlineStr">
        <is>
          <t>recurring_fleet</t>
        </is>
      </c>
      <c r="K50" t="inlineStr"/>
    </row>
    <row r="51">
      <c r="A51" t="inlineStr">
        <is>
          <t>IC-2023-02</t>
        </is>
      </c>
      <c r="B51" t="inlineStr">
        <is>
          <t>FY24-M01</t>
        </is>
      </c>
      <c r="C51" t="inlineStr">
        <is>
          <t>2023-Q2</t>
        </is>
      </c>
      <c r="D51" t="n">
        <v>1355760</v>
      </c>
      <c r="E51" t="n">
        <v>132</v>
      </c>
      <c r="F51" s="2" t="n">
        <v>95.8</v>
      </c>
      <c r="G51" t="n">
        <v>112896</v>
      </c>
      <c r="H51" t="n">
        <v>44251.2</v>
      </c>
      <c r="I51" t="n">
        <v>1367462.88</v>
      </c>
      <c r="J51" t="inlineStr">
        <is>
          <t>recurring_fleet</t>
        </is>
      </c>
      <c r="K51" t="inlineStr"/>
    </row>
    <row r="52">
      <c r="A52" t="inlineStr">
        <is>
          <t>IC-2023-02</t>
        </is>
      </c>
      <c r="B52" t="inlineStr">
        <is>
          <t>FY24-M04</t>
        </is>
      </c>
      <c r="C52" t="inlineStr">
        <is>
          <t>2023-Q3</t>
        </is>
      </c>
      <c r="D52" t="n">
        <v>1378402.58</v>
      </c>
      <c r="E52" t="n">
        <v>134</v>
      </c>
      <c r="F52" s="2" t="n">
        <v>95.8</v>
      </c>
      <c r="G52" t="n">
        <v>118089.22</v>
      </c>
      <c r="H52" t="n">
        <v>46375.26</v>
      </c>
      <c r="I52" t="n">
        <v>1392223.63</v>
      </c>
      <c r="J52" t="inlineStr">
        <is>
          <t>recurring_fleet</t>
        </is>
      </c>
      <c r="K52" t="inlineStr"/>
    </row>
    <row r="53">
      <c r="A53" t="inlineStr">
        <is>
          <t>IC-2023-02</t>
        </is>
      </c>
      <c r="B53" t="inlineStr">
        <is>
          <t>FY24-M07</t>
        </is>
      </c>
      <c r="C53" t="inlineStr">
        <is>
          <t>2023-Q4</t>
        </is>
      </c>
      <c r="D53" t="n">
        <v>1386654.74</v>
      </c>
      <c r="E53" t="n">
        <v>137</v>
      </c>
      <c r="F53" s="2" t="n">
        <v>95.8</v>
      </c>
      <c r="G53" t="n">
        <v>120685.82</v>
      </c>
      <c r="H53" t="n">
        <v>46950.52</v>
      </c>
      <c r="I53" t="n">
        <v>1402150.54</v>
      </c>
      <c r="J53" t="inlineStr">
        <is>
          <t>recurring_fleet</t>
        </is>
      </c>
      <c r="K53" t="inlineStr"/>
    </row>
    <row r="54">
      <c r="A54" t="inlineStr">
        <is>
          <t>IC-2023-02</t>
        </is>
      </c>
      <c r="B54" t="inlineStr">
        <is>
          <t>FY24-M10</t>
        </is>
      </c>
      <c r="C54" t="inlineStr">
        <is>
          <t>2024-Q1</t>
        </is>
      </c>
      <c r="D54" t="n">
        <v>1417574.2</v>
      </c>
      <c r="E54" t="n">
        <v>133</v>
      </c>
      <c r="F54" s="2" t="n">
        <v>95.8</v>
      </c>
      <c r="G54" t="n">
        <v>128814.34</v>
      </c>
      <c r="H54" t="n">
        <v>49472.84</v>
      </c>
      <c r="I54" t="n">
        <v>1437377.58</v>
      </c>
      <c r="J54" t="inlineStr">
        <is>
          <t>recurring_fleet</t>
        </is>
      </c>
      <c r="K54" t="inlineStr"/>
    </row>
    <row r="55">
      <c r="A55" t="inlineStr">
        <is>
          <t>IC-2023-02</t>
        </is>
      </c>
      <c r="B55" t="inlineStr">
        <is>
          <t>FY25-M01</t>
        </is>
      </c>
      <c r="C55" t="inlineStr">
        <is>
          <t>2024-Q2</t>
        </is>
      </c>
      <c r="D55" t="n">
        <v>1427315.94</v>
      </c>
      <c r="E55" t="n">
        <v>136</v>
      </c>
      <c r="F55" s="2" t="n">
        <v>95.8</v>
      </c>
      <c r="G55" t="n">
        <v>130733.57</v>
      </c>
      <c r="H55" t="n">
        <v>50180.86</v>
      </c>
      <c r="I55" t="n">
        <v>1447921.38</v>
      </c>
      <c r="J55" t="inlineStr">
        <is>
          <t>recurring_fleet</t>
        </is>
      </c>
      <c r="K55" t="inlineStr"/>
    </row>
    <row r="56">
      <c r="A56" t="inlineStr">
        <is>
          <t>IC-2023-02</t>
        </is>
      </c>
      <c r="B56" t="inlineStr">
        <is>
          <t>FY25-M04</t>
        </is>
      </c>
      <c r="C56" t="inlineStr">
        <is>
          <t>2024-Q3</t>
        </is>
      </c>
      <c r="D56" t="n">
        <v>1455160.99</v>
      </c>
      <c r="E56" t="n">
        <v>131</v>
      </c>
      <c r="F56" s="2" t="n">
        <v>95.8</v>
      </c>
      <c r="G56" t="n">
        <v>139313.66</v>
      </c>
      <c r="H56" t="n">
        <v>52703.18</v>
      </c>
      <c r="I56" t="n">
        <v>1480654.71</v>
      </c>
      <c r="J56" t="inlineStr">
        <is>
          <t>recurring_fleet</t>
        </is>
      </c>
      <c r="K56" t="inlineStr"/>
    </row>
    <row r="57">
      <c r="A57" t="inlineStr">
        <is>
          <t>IC-2023-02</t>
        </is>
      </c>
      <c r="B57" t="inlineStr">
        <is>
          <t>FY25-M07</t>
        </is>
      </c>
      <c r="C57" t="inlineStr">
        <is>
          <t>2024-Q4</t>
        </is>
      </c>
      <c r="D57" t="n">
        <v>1485096.67</v>
      </c>
      <c r="E57" t="n">
        <v>135</v>
      </c>
      <c r="F57" s="2" t="n">
        <v>95.8</v>
      </c>
      <c r="G57" t="n">
        <v>141232.9</v>
      </c>
      <c r="H57" t="n">
        <v>53455.45</v>
      </c>
      <c r="I57" t="n">
        <v>1510500.06</v>
      </c>
      <c r="J57" t="inlineStr">
        <is>
          <t>recurring_fleet</t>
        </is>
      </c>
      <c r="K57" t="inlineStr"/>
    </row>
    <row r="58">
      <c r="A58" t="inlineStr">
        <is>
          <t>IC-2023-04</t>
        </is>
      </c>
      <c r="B58" t="inlineStr">
        <is>
          <t>FY24-M01</t>
        </is>
      </c>
      <c r="C58" t="inlineStr">
        <is>
          <t>2023-Q2</t>
        </is>
      </c>
      <c r="D58" t="n">
        <v>1523590</v>
      </c>
      <c r="E58" t="n">
        <v>149</v>
      </c>
      <c r="F58" s="2" t="n">
        <v>95.5</v>
      </c>
      <c r="G58" t="n">
        <v>130161</v>
      </c>
      <c r="H58" t="n">
        <v>48633.8</v>
      </c>
      <c r="I58" t="n">
        <v>1536555.65</v>
      </c>
      <c r="J58" t="inlineStr">
        <is>
          <t>recurring_fleet</t>
        </is>
      </c>
      <c r="K58" t="inlineStr"/>
    </row>
    <row r="59">
      <c r="A59" t="inlineStr">
        <is>
          <t>IC-2023-04</t>
        </is>
      </c>
      <c r="B59" t="inlineStr">
        <is>
          <t>FY24-M04</t>
        </is>
      </c>
      <c r="C59" t="inlineStr">
        <is>
          <t>2023-Q3</t>
        </is>
      </c>
      <c r="D59" t="n">
        <v>1548848.1</v>
      </c>
      <c r="E59" t="n">
        <v>154</v>
      </c>
      <c r="F59" s="2" t="n">
        <v>95.5</v>
      </c>
      <c r="G59" t="n">
        <v>132634.06</v>
      </c>
      <c r="H59" t="n">
        <v>49363.31</v>
      </c>
      <c r="I59" t="n">
        <v>1562420.69</v>
      </c>
      <c r="J59" t="inlineStr">
        <is>
          <t>recurring_fleet</t>
        </is>
      </c>
      <c r="K59" t="inlineStr"/>
    </row>
    <row r="60">
      <c r="A60" t="inlineStr">
        <is>
          <t>IC-2023-04</t>
        </is>
      </c>
      <c r="B60" t="inlineStr">
        <is>
          <t>FY24-M07</t>
        </is>
      </c>
      <c r="C60" t="inlineStr">
        <is>
          <t>2023-Q4</t>
        </is>
      </c>
      <c r="D60" t="n">
        <v>1556171.01</v>
      </c>
      <c r="E60" t="n">
        <v>151</v>
      </c>
      <c r="F60" s="2" t="n">
        <v>95.5</v>
      </c>
      <c r="G60" t="n">
        <v>141094.52</v>
      </c>
      <c r="H60" t="n">
        <v>52232.7</v>
      </c>
      <c r="I60" t="n">
        <v>1575005.13</v>
      </c>
      <c r="J60" t="inlineStr">
        <is>
          <t>recurring_fleet</t>
        </is>
      </c>
      <c r="K60" t="inlineStr"/>
    </row>
    <row r="61">
      <c r="A61" t="inlineStr">
        <is>
          <t>IC-2023-04</t>
        </is>
      </c>
      <c r="B61" t="inlineStr">
        <is>
          <t>FY24-M10</t>
        </is>
      </c>
      <c r="C61" t="inlineStr">
        <is>
          <t>2024-Q1</t>
        </is>
      </c>
      <c r="D61" t="n">
        <v>1592330.19</v>
      </c>
      <c r="E61" t="n">
        <v>155</v>
      </c>
      <c r="F61" s="2" t="n">
        <v>95.5</v>
      </c>
      <c r="G61" t="n">
        <v>143307.26</v>
      </c>
      <c r="H61" t="n">
        <v>53302.64</v>
      </c>
      <c r="I61" t="n">
        <v>1610679.95</v>
      </c>
      <c r="J61" t="inlineStr">
        <is>
          <t>recurring_fleet</t>
        </is>
      </c>
      <c r="K61" t="inlineStr"/>
    </row>
    <row r="62">
      <c r="A62" t="inlineStr">
        <is>
          <t>IC-2023-04</t>
        </is>
      </c>
      <c r="B62" t="inlineStr">
        <is>
          <t>FY25-M01</t>
        </is>
      </c>
      <c r="C62" t="inlineStr">
        <is>
          <t>2024-Q2</t>
        </is>
      </c>
      <c r="D62" t="n">
        <v>1599405.19</v>
      </c>
      <c r="E62" t="n">
        <v>150</v>
      </c>
      <c r="F62" s="2" t="n">
        <v>95.5</v>
      </c>
      <c r="G62" t="n">
        <v>154370.95</v>
      </c>
      <c r="H62" t="n">
        <v>54858.93</v>
      </c>
      <c r="I62" t="n">
        <v>1626943.98</v>
      </c>
      <c r="J62" t="inlineStr">
        <is>
          <t>recurring_fleet</t>
        </is>
      </c>
      <c r="K62" t="inlineStr"/>
    </row>
    <row r="63">
      <c r="A63" t="inlineStr">
        <is>
          <t>IC-2023-04</t>
        </is>
      </c>
      <c r="B63" t="inlineStr">
        <is>
          <t>FY25-M04</t>
        </is>
      </c>
      <c r="C63" t="inlineStr">
        <is>
          <t>2024-Q3</t>
        </is>
      </c>
      <c r="D63" t="n">
        <v>1635078.7</v>
      </c>
      <c r="E63" t="n">
        <v>153</v>
      </c>
      <c r="F63" s="2" t="n">
        <v>95.5</v>
      </c>
      <c r="G63" t="n">
        <v>157364.65</v>
      </c>
      <c r="H63" t="n">
        <v>57631.05</v>
      </c>
      <c r="I63" t="n">
        <v>1661233.76</v>
      </c>
      <c r="J63" t="inlineStr">
        <is>
          <t>recurring_fleet</t>
        </is>
      </c>
      <c r="K63" t="inlineStr"/>
    </row>
    <row r="64">
      <c r="A64" t="inlineStr">
        <is>
          <t>IC-2023-04</t>
        </is>
      </c>
      <c r="B64" t="inlineStr">
        <is>
          <t>FY25-M07</t>
        </is>
      </c>
      <c r="C64" t="inlineStr">
        <is>
          <t>2024-Q4</t>
        </is>
      </c>
      <c r="D64" t="n">
        <v>1666217.46</v>
      </c>
      <c r="E64" t="n">
        <v>152</v>
      </c>
      <c r="F64" s="2" t="n">
        <v>95.5</v>
      </c>
      <c r="G64" t="n">
        <v>165044.15</v>
      </c>
      <c r="H64" t="n">
        <v>59770.94</v>
      </c>
      <c r="I64" t="n">
        <v>1696510.88</v>
      </c>
      <c r="J64" t="inlineStr">
        <is>
          <t>recurring_fleet</t>
        </is>
      </c>
      <c r="K64" t="inlineStr"/>
    </row>
    <row r="65">
      <c r="A65" t="inlineStr">
        <is>
          <t>IC-MUNI-24</t>
        </is>
      </c>
      <c r="B65" t="inlineStr">
        <is>
          <t>FY24-M01</t>
        </is>
      </c>
      <c r="C65" t="inlineStr">
        <is>
          <t>2023-Q2</t>
        </is>
      </c>
      <c r="D65" t="n">
        <v>2040000</v>
      </c>
      <c r="E65" t="n">
        <v>286</v>
      </c>
      <c r="F65" s="2" t="n">
        <v>100</v>
      </c>
      <c r="G65" t="n">
        <v>0</v>
      </c>
      <c r="H65" t="n">
        <v>0</v>
      </c>
      <c r="I65" t="n">
        <v>2040000</v>
      </c>
      <c r="J65" t="inlineStr">
        <is>
          <t>pilot_non_recurring</t>
        </is>
      </c>
      <c r="K65" t="inlineStr">
        <is>
          <t>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66">
      <c r="A66" t="inlineStr">
        <is>
          <t>IC-MUNI-24</t>
        </is>
      </c>
      <c r="B66" t="inlineStr">
        <is>
          <t>FY24-M04</t>
        </is>
      </c>
      <c r="C66" t="inlineStr">
        <is>
          <t>2023-Q3</t>
        </is>
      </c>
      <c r="D66" t="n">
        <v>2072640</v>
      </c>
      <c r="E66" t="n">
        <v>298</v>
      </c>
      <c r="F66" s="2" t="n">
        <v>100</v>
      </c>
      <c r="G66" t="n">
        <v>0</v>
      </c>
      <c r="H66" t="n">
        <v>0</v>
      </c>
      <c r="I66" t="n">
        <v>2072640</v>
      </c>
      <c r="J66" t="inlineStr">
        <is>
          <t>pilot_non_recurring</t>
        </is>
      </c>
      <c r="K66" t="inlineStr">
        <is>
          <t>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67">
      <c r="A67" t="inlineStr">
        <is>
          <t>IC-MUNI-24</t>
        </is>
      </c>
      <c r="B67" t="inlineStr">
        <is>
          <t>FY24-M07</t>
        </is>
      </c>
      <c r="C67" t="inlineStr">
        <is>
          <t>2023-Q4</t>
        </is>
      </c>
      <c r="D67" t="n">
        <v>2125680</v>
      </c>
      <c r="E67" t="n">
        <v>294</v>
      </c>
      <c r="F67" s="2" t="n">
        <v>100</v>
      </c>
      <c r="G67" t="n">
        <v>0</v>
      </c>
      <c r="H67" t="n">
        <v>0</v>
      </c>
      <c r="I67" t="n">
        <v>2125680</v>
      </c>
      <c r="J67" t="inlineStr">
        <is>
          <t>pilot_non_recurring</t>
        </is>
      </c>
      <c r="K67" t="inlineStr">
        <is>
          <t>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68">
      <c r="A68" t="inlineStr">
        <is>
          <t>IC-MUNI-24</t>
        </is>
      </c>
      <c r="B68" t="inlineStr">
        <is>
          <t>FY24-M10</t>
        </is>
      </c>
      <c r="C68" t="inlineStr">
        <is>
          <t>2024-Q1</t>
        </is>
      </c>
      <c r="D68" t="n">
        <v>2150160</v>
      </c>
      <c r="E68" t="n">
        <v>307</v>
      </c>
      <c r="F68" s="2" t="n">
        <v>100</v>
      </c>
      <c r="G68" t="n">
        <v>0</v>
      </c>
      <c r="H68" t="n">
        <v>0</v>
      </c>
      <c r="I68" t="n">
        <v>2150160</v>
      </c>
      <c r="J68" t="inlineStr">
        <is>
          <t>pilot_non_recurring</t>
        </is>
      </c>
      <c r="K68" t="inlineStr">
        <is>
          <t>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69">
      <c r="A69" t="inlineStr">
        <is>
          <t>IC-MUNI-24</t>
        </is>
      </c>
      <c r="B69" t="inlineStr">
        <is>
          <t>FY25-M01</t>
        </is>
      </c>
      <c r="C69" t="inlineStr">
        <is>
          <t>2024-Q2</t>
        </is>
      </c>
      <c r="D69" t="n">
        <v>2182800</v>
      </c>
      <c r="E69" t="n">
        <v>301</v>
      </c>
      <c r="F69" s="2" t="n">
        <v>100</v>
      </c>
      <c r="G69" t="n">
        <v>0</v>
      </c>
      <c r="H69" t="n">
        <v>0</v>
      </c>
      <c r="I69" t="n">
        <v>2182800</v>
      </c>
      <c r="J69" t="inlineStr">
        <is>
          <t>pilot_non_recurring</t>
        </is>
      </c>
      <c r="K69" t="inlineStr">
        <is>
          <t>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70">
      <c r="A70" t="inlineStr">
        <is>
          <t>IC-MUNI-24</t>
        </is>
      </c>
      <c r="B70" t="inlineStr">
        <is>
          <t>FY25-M04</t>
        </is>
      </c>
      <c r="C70" t="inlineStr">
        <is>
          <t>2024-Q3</t>
        </is>
      </c>
      <c r="D70" t="n">
        <v>2235840</v>
      </c>
      <c r="E70" t="n">
        <v>295</v>
      </c>
      <c r="F70" s="2" t="n">
        <v>100</v>
      </c>
      <c r="G70" t="n">
        <v>0</v>
      </c>
      <c r="H70" t="n">
        <v>0</v>
      </c>
      <c r="I70" t="n">
        <v>2235840</v>
      </c>
      <c r="J70" t="inlineStr">
        <is>
          <t>pilot_non_recurring</t>
        </is>
      </c>
      <c r="K70" t="inlineStr">
        <is>
          <t>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71">
      <c r="A71" t="inlineStr">
        <is>
          <t>IC-MUNI-24</t>
        </is>
      </c>
      <c r="B71" t="inlineStr">
        <is>
          <t>FY25-M07</t>
        </is>
      </c>
      <c r="C71" t="inlineStr">
        <is>
          <t>2024-Q4</t>
        </is>
      </c>
      <c r="D71" t="n">
        <v>2260320</v>
      </c>
      <c r="E71" t="n">
        <v>304</v>
      </c>
      <c r="F71" s="2" t="n">
        <v>100</v>
      </c>
      <c r="G71" t="n">
        <v>0</v>
      </c>
      <c r="H71" t="n">
        <v>0</v>
      </c>
      <c r="I71" t="n">
        <v>2260320</v>
      </c>
      <c r="J71" t="inlineStr">
        <is>
          <t>pilot_non_recurring</t>
        </is>
      </c>
      <c r="K71" t="inlineStr">
        <is>
          <t>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72">
      <c r="A72" t="inlineStr">
        <is>
          <t>IC-2023-02-XP</t>
        </is>
      </c>
      <c r="B72" t="inlineStr">
        <is>
          <t>FY25-M04</t>
        </is>
      </c>
      <c r="C72" t="inlineStr">
        <is>
          <t>2024-Q3</t>
        </is>
      </c>
      <c r="D72" t="n">
        <v>1199485.71</v>
      </c>
      <c r="E72" t="n">
        <v>117</v>
      </c>
      <c r="F72" t="n">
        <v>94.9</v>
      </c>
      <c r="G72" t="n">
        <v>114777.98</v>
      </c>
      <c r="H72" t="n">
        <v>45298.02</v>
      </c>
      <c r="I72" t="n">
        <v>1207791.9</v>
      </c>
      <c r="J72" t="inlineStr">
        <is>
          <t>recurring_fleet</t>
        </is>
      </c>
      <c r="K72" t="inlineStr">
        <is>
          <t>Migration crosswalk row; expansion dollars duplicate IC-2022-04 for the same fleet amendment.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29" customWidth="1" min="4" max="4"/>
    <col width="12" customWidth="1" min="5" max="5"/>
    <col width="60" customWidth="1" min="6" max="6"/>
    <col width="37" customWidth="1" min="7" max="7"/>
    <col width="17" customWidth="1" min="8" max="8"/>
    <col width="43" customWidth="1" min="9" max="9"/>
    <col width="60" customWidth="1" min="10" max="10"/>
  </cols>
  <sheetData>
    <row r="1">
      <c r="A1" s="1" t="inlineStr">
        <is>
          <t>calendar_quarter</t>
        </is>
      </c>
      <c r="B1" s="1" t="inlineStr">
        <is>
          <t>gross_cohort_ending_arr</t>
        </is>
      </c>
      <c r="C1" s="1" t="inlineStr">
        <is>
          <t>less_duplicate_crosswalk</t>
        </is>
      </c>
      <c r="D1" s="1" t="inlineStr">
        <is>
          <t>less_recognition_timing_adj</t>
        </is>
      </c>
      <c r="E1" s="1" t="inlineStr">
        <is>
          <t>fleet_arr</t>
        </is>
      </c>
      <c r="F1" s="1" t="inlineStr">
        <is>
          <t>cohort_vehicle_count</t>
        </is>
      </c>
      <c r="G1" s="1" t="inlineStr">
        <is>
          <t>plus_unassigned_onboarding_vehicles</t>
        </is>
      </c>
      <c r="H1" s="1" t="inlineStr">
        <is>
          <t>active_vehicles</t>
        </is>
      </c>
      <c r="I1" s="1" t="inlineStr">
        <is>
          <t>bridge_check</t>
        </is>
      </c>
      <c r="J1" s="1" t="inlineStr">
        <is>
          <t>methodology_note</t>
        </is>
      </c>
    </row>
    <row r="2">
      <c r="A2" t="inlineStr">
        <is>
          <t>2024-Q1</t>
        </is>
      </c>
      <c t="n" r="B2" s="3">
        <f>SUMIF('Cohort Detail'!C$2:C$72,A2,'Cohort Detail'!I$2:I$72)</f>
        <v>10411531.56</v>
      </c>
      <c t="n" r="C2" s="3">
        <f>SUMIFS('Cohort Detail'!I$2:I$72,'Cohort Detail'!C$2:C$72,A2,'Cohort Detail'!A$2:A$72,"IC-2023-02-XP")</f>
        <v>0</v>
      </c>
      <c t="n" r="D2" s="3">
        <f>B2-C2-E2</f>
        <v>4699051.21</v>
      </c>
      <c r="E2" s="3" t="n">
        <v>5712480.35</v>
      </c>
      <c t="n" r="F2">
        <f>SUMIF('Cohort Detail'!C$2:C$72,A2,'Cohort Detail'!E$2:E$72)</f>
        <v>1154</v>
      </c>
      <c t="n" r="G2">
        <f>H2-F2</f>
        <v>488</v>
      </c>
      <c r="H2" t="n">
        <v>1642</v>
      </c>
      <c r="I2">
        <f>IF(ABS(B2-C2-D2-E2)&lt;0.01,"ties","BREAK")</f>
        <v/>
      </c>
      <c r="J2" t="inlineStr">
        <is>
          <t>fleet_arr is finance-recognized subscription ARR for board TTM. Cohort Detail ending_arr is gross contracted ARR by billing cohort. recognition_timing_adj removes implementation deferrals and multi-year contract billings not yet in the subscription ledger. active_vehicles includes onboarding units not yet tagged to a cohort_id.</t>
        </is>
      </c>
    </row>
    <row r="3">
      <c r="A3" t="inlineStr">
        <is>
          <t>2024-Q2</t>
        </is>
      </c>
      <c t="n" r="B3" s="3">
        <f>SUMIF('Cohort Detail'!C$2:C$72,A3,'Cohort Detail'!I$2:I$72)</f>
        <v>10414585.36</v>
      </c>
      <c t="n" r="C3" s="3">
        <f>SUMIFS('Cohort Detail'!I$2:I$72,'Cohort Detail'!C$2:C$72,A3,'Cohort Detail'!A$2:A$72,"IC-2023-02-XP")</f>
        <v>0</v>
      </c>
      <c t="n" r="D3" s="3">
        <f>B3-C3-E3</f>
        <v>4229659.56</v>
      </c>
      <c r="E3" s="3" t="n">
        <v>6184925.8</v>
      </c>
      <c t="n" r="F3">
        <f>SUMIF('Cohort Detail'!C$2:C$72,A3,'Cohort Detail'!E$2:E$72)</f>
        <v>1151</v>
      </c>
      <c t="n" r="G3">
        <f>H3-F3</f>
        <v>638</v>
      </c>
      <c r="H3" t="n">
        <v>1789</v>
      </c>
      <c r="I3">
        <f>IF(ABS(B3-C3-D3-E3)&lt;0.01,"ties","BREAK")</f>
        <v/>
      </c>
      <c r="J3" t="inlineStr">
        <is>
          <t>fleet_arr is finance-recognized subscription ARR for board TTM. Cohort Detail ending_arr is gross contracted ARR by billing cohort. recognition_timing_adj removes implementation deferrals and multi-year contract billings not yet in the subscription ledger. active_vehicles includes onboarding units not yet tagged to a cohort_id.</t>
        </is>
      </c>
    </row>
    <row r="4">
      <c r="A4" t="inlineStr">
        <is>
          <t>2024-Q3</t>
        </is>
      </c>
      <c t="n" r="B4" s="3">
        <f>SUMIF('Cohort Detail'!C$2:C$72,A4,'Cohort Detail'!I$2:I$72)</f>
        <v>11757263.82</v>
      </c>
      <c t="n" r="C4" s="3">
        <f>SUMIFS('Cohort Detail'!I$2:I$72,'Cohort Detail'!C$2:C$72,A4,'Cohort Detail'!A$2:A$72,"IC-2023-02-XP")</f>
        <v>1207791.9</v>
      </c>
      <c t="n" r="D4" s="3">
        <f>B4-C4-E4</f>
        <v>3797131.47</v>
      </c>
      <c r="E4" s="3" t="n">
        <v>6752340.45</v>
      </c>
      <c t="n" r="F4">
        <f>SUMIF('Cohort Detail'!C$2:C$72,A4,'Cohort Detail'!E$2:E$72)</f>
        <v>1243</v>
      </c>
      <c t="n" r="G4">
        <f>H4-F4</f>
        <v>705</v>
      </c>
      <c r="H4" t="n">
        <v>1948</v>
      </c>
      <c r="I4">
        <f>IF(ABS(B4-C4-D4-E4)&lt;0.01,"ties","BREAK")</f>
        <v/>
      </c>
      <c r="J4" t="inlineStr">
        <is>
          <t>fleet_arr is finance-recognized subscription ARR for board TTM. Cohort Detail ending_arr is gross contracted ARR by billing cohort. recognition_timing_adj removes implementation deferrals and multi-year contract billings not yet in the subscription ledger. active_vehicles includes onboarding units not yet tagged to a cohort_id.</t>
        </is>
      </c>
    </row>
    <row r="5">
      <c r="A5" t="inlineStr">
        <is>
          <t>2024-Q4</t>
        </is>
      </c>
      <c t="n" r="B5" s="3">
        <f>SUMIF('Cohort Detail'!C$2:C$72,A5,'Cohort Detail'!I$2:I$72)</f>
        <v>10656583.48</v>
      </c>
      <c t="n" r="C5" s="3">
        <f>SUMIFS('Cohort Detail'!I$2:I$72,'Cohort Detail'!C$2:C$72,A5,'Cohort Detail'!A$2:A$72,"IC-2023-02-XP")</f>
        <v>0</v>
      </c>
      <c t="n" r="D5" s="3">
        <f>B5-C5-E5</f>
        <v>3264719.28</v>
      </c>
      <c r="E5" s="3" t="n">
        <v>7391864.2</v>
      </c>
      <c t="n" r="F5">
        <f>SUMIF('Cohort Detail'!C$2:C$72,A5,'Cohort Detail'!E$2:E$72)</f>
        <v>1154</v>
      </c>
      <c t="n" r="G5">
        <f>H5-F5</f>
        <v>963</v>
      </c>
      <c r="H5" t="n">
        <v>2117</v>
      </c>
      <c r="I5">
        <f>IF(ABS(B5-C5-D5-E5)&lt;0.01,"ties","BREAK")</f>
        <v/>
      </c>
      <c r="J5" t="inlineStr">
        <is>
          <t>fleet_arr is finance-recognized subscription ARR for board TTM. Cohort Detail ending_arr is gross contracted ARR by billing cohort. recognition_timing_adj removes implementation deferrals and multi-year contract billings not yet in the subscription ledger. active_vehicles includes onboarding units not yet tagged to a cohort_id.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8" customWidth="1" min="4" max="4"/>
    <col width="60" customWidth="1" min="5" max="5"/>
  </cols>
  <sheetData>
    <row r="1">
      <c r="A1" s="1" t="inlineStr">
        <is>
          <t>calendar_quarter</t>
        </is>
      </c>
      <c r="B1" s="1" t="inlineStr">
        <is>
          <t>fleet_arr</t>
        </is>
      </c>
      <c r="C1" s="1" t="inlineStr">
        <is>
          <t>active_vehicles</t>
        </is>
      </c>
      <c r="D1" s="1" t="inlineStr">
        <is>
          <t>reported_nrr_pct</t>
        </is>
      </c>
      <c r="E1" s="1" t="inlineStr">
        <is>
          <t>source_note</t>
        </is>
      </c>
    </row>
    <row r="2">
      <c r="A2" t="inlineStr">
        <is>
          <t>2024-Q1</t>
        </is>
      </c>
      <c r="B2" s="3" t="n">
        <v>5712480.35</v>
      </c>
      <c r="C2" t="n">
        <v>1642</v>
      </c>
      <c r="D2" s="2" t="n">
        <v>107.4</v>
      </c>
      <c r="E2" t="inlineStr">
        <is>
          <t>Finance calendar-quarter rollup (finance-recognized ARR). See Recognition Bridge + Definitions for Cohort Detail → fleet_arr identity. Includes municipal pilot in recognized ARR; exclude per brief Footnote 1.</t>
        </is>
      </c>
    </row>
    <row r="3">
      <c r="A3" t="inlineStr">
        <is>
          <t>2024-Q2</t>
        </is>
      </c>
      <c r="B3" s="3" t="n">
        <v>6184925.8</v>
      </c>
      <c r="C3" t="n">
        <v>1789</v>
      </c>
      <c r="D3" s="2" t="n">
        <v>108.6</v>
      </c>
      <c r="E3" t="inlineStr">
        <is>
          <t>Finance calendar-quarter rollup (finance-recognized ARR). See Recognition Bridge + Definitions for Cohort Detail → fleet_arr identity. Includes municipal pilot in recognized ARR; exclude per brief Footnote 1.</t>
        </is>
      </c>
    </row>
    <row r="4">
      <c r="A4" t="inlineStr">
        <is>
          <t>2024-Q3</t>
        </is>
      </c>
      <c r="B4" s="3" t="n">
        <v>6752340.45</v>
      </c>
      <c r="C4" t="n">
        <v>1948</v>
      </c>
      <c r="D4" s="2" t="n">
        <v>108.2</v>
      </c>
      <c r="E4" t="inlineStr">
        <is>
          <t>Finance calendar-quarter rollup (finance-recognized ARR). See Recognition Bridge + Definitions for Cohort Detail → fleet_arr identity. Includes municipal pilot in recognized ARR; exclude per brief Footnote 1.</t>
        </is>
      </c>
    </row>
    <row r="5">
      <c r="A5" t="inlineStr">
        <is>
          <t>2024-Q4</t>
        </is>
      </c>
      <c r="B5" s="3" t="n">
        <v>7391864.2</v>
      </c>
      <c r="C5" t="n">
        <v>2117</v>
      </c>
      <c r="D5" s="2" t="n">
        <v>109.5</v>
      </c>
      <c r="E5" t="inlineStr">
        <is>
          <t>Finance calendar-quarter rollup (finance-recognized ARR). See Recognition Bridge + Definitions for Cohort Detail → fleet_arr identity. Includes municipal pilot in recognized ARR; exclude per brief Footnote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cohort_id</t>
        </is>
      </c>
      <c r="B2" t="inlineStr">
        <is>
          <t>Fleet cohort identifier from the billing migration crosswalk.</t>
        </is>
      </c>
    </row>
    <row r="3">
      <c r="A3" t="inlineStr">
        <is>
          <t>fiscal_month_label</t>
        </is>
      </c>
      <c r="B3" t="inlineStr">
        <is>
          <t>Ironclad fiscal-month label; FY25-M07 maps to calendar 2024-Q4.</t>
        </is>
      </c>
    </row>
    <row r="4">
      <c r="A4" t="inlineStr">
        <is>
          <t>calendar_quarter</t>
        </is>
      </c>
      <c r="B4" t="inlineStr">
        <is>
          <t>Calendar period used for sponsor valuation analysis.</t>
        </is>
      </c>
    </row>
    <row r="5">
      <c r="A5" t="inlineStr">
        <is>
          <t>starting_arr</t>
        </is>
      </c>
      <c r="B5" t="inlineStr">
        <is>
          <t>Annualized recurring subscription value at period opening.</t>
        </is>
      </c>
    </row>
    <row r="6">
      <c r="A6" t="inlineStr">
        <is>
          <t>vehicle_count</t>
        </is>
      </c>
      <c r="B6" t="inlineStr">
        <is>
          <t>Connected billable vehicles at period end for the cohort.</t>
        </is>
      </c>
    </row>
    <row r="7">
      <c r="A7" t="inlineStr">
        <is>
          <t>gross_retention_pct</t>
        </is>
      </c>
      <c r="B7" t="inlineStr">
        <is>
          <t>Opening ARR retained before expansion (one decimal place).</t>
        </is>
      </c>
    </row>
    <row r="8">
      <c r="A8" t="inlineStr">
        <is>
          <t>expansion_arr</t>
        </is>
      </c>
      <c r="B8" t="inlineStr">
        <is>
          <t>Annualized in-cohort seat, module, and vehicle expansion.</t>
        </is>
      </c>
    </row>
    <row r="9">
      <c r="A9" t="inlineStr">
        <is>
          <t>churn_arr</t>
        </is>
      </c>
      <c r="B9" t="inlineStr">
        <is>
          <t>Annualized contraction and cancellation value.</t>
        </is>
      </c>
    </row>
    <row r="10">
      <c r="A10" t="inlineStr">
        <is>
          <t>ending_arr</t>
        </is>
      </c>
      <c r="B10" t="inlineStr">
        <is>
          <t>Gross contracted ARR: starting_arr × gross_retention_pct/100 + expansion_arr − churn_arr. This is the billing-cohort view, not the finance-recognized board rollup.</t>
        </is>
      </c>
    </row>
    <row r="11">
      <c r="A11" t="inlineStr">
        <is>
          <t>fleet_arr</t>
        </is>
      </c>
      <c r="B11" t="inlineStr">
        <is>
          <t>Finance-recognized subscription ARR for the calendar quarter used in board TTM. Identity (Recognition Bridge): fleet_arr = SUMIF(Cohort Detail ending_arr by calendar_quarter) − duplicate IC-2023-02-XP ending_arr − recognition_timing_adj. Not equal to the raw sum of Cohort Detail ending_arr.</t>
        </is>
      </c>
    </row>
    <row r="12">
      <c r="A12" t="inlineStr">
        <is>
          <t>recognition_timing_adj</t>
        </is>
      </c>
      <c r="B12" t="inlineStr">
        <is>
          <t>Reconciling amount on Recognition Bridge: implementation deferrals and multi-year contract billings present in Cohort Detail contracted ARR but not yet in the subscription ledger used for Fleet Rollup.</t>
        </is>
      </c>
    </row>
    <row r="13">
      <c r="A13" t="inlineStr">
        <is>
          <t>active_vehicles</t>
        </is>
      </c>
      <c r="B13" t="inlineStr">
        <is>
          <t>Fleet Rollup vehicle count = SUMIF(Cohort Detail vehicle_count) + unassigned onboarding vehicles not yet tagged to a billing cohort_id (Recognition Bridge).</t>
        </is>
      </c>
    </row>
    <row r="14">
      <c r="A14" t="inlineStr">
        <is>
          <t>pilot_non_recurring</t>
        </is>
      </c>
      <c r="B14" t="inlineStr">
        <is>
          <t>Time-limited municipal deployment. Model exclusion uses growth_equity_diligence_brief.txt Footnote 1 amount ($2,040,000 award-year annualized), which may differ from IC-MUNI-24 Cohort Detail ending_arr for the same quarters.</t>
        </is>
      </c>
    </row>
    <row r="15">
      <c r="A15" t="inlineStr">
        <is>
          <t>duplicate crosswalk</t>
        </is>
      </c>
      <c r="B15" t="inlineStr">
        <is>
          <t>IC-2023-02-XP repeats an IC-2022-04 fleet amendment and must not be counted twice.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2026-09-04T11:48:45Z</dcterms:created>
  <dcterms:modified xsi:type="dcterms:W3CDTF">2026-09-04T11:48:45Z</dcterms:modified>
</cp:coreProperties>
</file>