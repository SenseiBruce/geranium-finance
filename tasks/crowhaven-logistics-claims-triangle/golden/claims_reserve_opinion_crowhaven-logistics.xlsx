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se Inventory" sheetId="2" state="visible" r:id="rId2"/>
    <sheet name="AY Development" sheetId="3" state="visible" r:id="rId3"/>
    <sheet name="Reserve Opinion" sheetId="4" state="visible" r:id="rId4"/>
    <sheet name="UW Recommendation" sheetId="5" state="visible" r:id="rId5"/>
  </sheets>
  <definedNames>
    <definedName name="_xlnm._FilterDatabase" localSheetId="1" hidden="1">'Case Inventory'!$A$4:$P$45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</cols>
  <sheetData>
    <row r="1">
      <c r="A1" s="1" t="inlineStr">
        <is>
          <t>Crowhaven Logistics — YE 2025-12-31 factors</t>
        </is>
      </c>
    </row>
    <row r="2">
      <c r="A2" t="inlineStr">
        <is>
          <t>actuarial_factor_memo.txt | fully insured primary</t>
        </is>
      </c>
    </row>
    <row r="5">
      <c r="A5" s="2" t="inlineStr">
        <is>
          <t>Item</t>
        </is>
      </c>
      <c r="B5" s="2" t="inlineStr">
        <is>
          <t>Value</t>
        </is>
      </c>
      <c r="C5" s="2" t="inlineStr">
        <is>
          <t>Source</t>
        </is>
      </c>
    </row>
    <row r="6">
      <c r="A6" t="inlineStr">
        <is>
          <t>Paid LDF 12</t>
        </is>
      </c>
      <c r="B6" s="3" t="n">
        <v>1.82</v>
      </c>
      <c r="C6" t="inlineStr">
        <is>
          <t>actuarial_factor_memo.txt</t>
        </is>
      </c>
    </row>
    <row r="7">
      <c r="A7" t="inlineStr">
        <is>
          <t>Paid LDF 24</t>
        </is>
      </c>
      <c r="B7" s="3" t="n">
        <v>1.41</v>
      </c>
      <c r="C7" t="inlineStr">
        <is>
          <t>actuarial_factor_memo.txt</t>
        </is>
      </c>
    </row>
    <row r="8">
      <c r="A8" t="inlineStr">
        <is>
          <t>Paid LDF 36</t>
        </is>
      </c>
      <c r="B8" s="3" t="n">
        <v>1.18</v>
      </c>
      <c r="C8" t="inlineStr">
        <is>
          <t>actuarial_factor_memo.txt</t>
        </is>
      </c>
    </row>
    <row r="9">
      <c r="A9" t="inlineStr">
        <is>
          <t>Paid LDF 48</t>
        </is>
      </c>
      <c r="B9" s="3" t="n">
        <v>1.06</v>
      </c>
      <c r="C9" t="inlineStr">
        <is>
          <t>actuarial_factor_memo.txt</t>
        </is>
      </c>
    </row>
    <row r="10">
      <c r="A10" t="inlineStr">
        <is>
          <t>Large Loss Claim</t>
        </is>
      </c>
      <c r="B10" t="inlineStr">
        <is>
          <t>CLM-AUTO-2023-4412</t>
        </is>
      </c>
      <c r="C10" t="inlineStr">
        <is>
          <t>Large Loss Adjustment</t>
        </is>
      </c>
    </row>
    <row r="11">
      <c r="A11" t="inlineStr">
        <is>
          <t>Large Loss Paid</t>
        </is>
      </c>
      <c r="B11" s="4" t="n">
        <v>185220.4</v>
      </c>
      <c r="C11" t="inlineStr">
        <is>
          <t>Carve from AY 2023 paid</t>
        </is>
      </c>
    </row>
    <row r="12">
      <c r="A12" t="inlineStr">
        <is>
          <t>Closed Claim Drop</t>
        </is>
      </c>
      <c r="B12" t="inlineStr">
        <is>
          <t>CLM-AUTO-2024-0908</t>
        </is>
      </c>
      <c r="C12" t="inlineStr">
        <is>
          <t>Final payment 2025-12-12</t>
        </is>
      </c>
    </row>
    <row r="13">
      <c r="A13" t="inlineStr">
        <is>
          <t>VOID Claim Drop</t>
        </is>
      </c>
      <c r="B13" t="inlineStr">
        <is>
          <t>CLM-AUTO-2024-0000</t>
        </is>
      </c>
      <c r="C13" t="inlineStr">
        <is>
          <t>VOID status</t>
        </is>
      </c>
    </row>
    <row r="14">
      <c r="A14" t="inlineStr">
        <is>
          <t>Earned Premium</t>
        </is>
      </c>
      <c r="B14" s="4" t="n">
        <v>2850220.4</v>
      </c>
      <c r="C14" t="inlineStr">
        <is>
          <t>actuarial_factor_memo.txt</t>
        </is>
      </c>
    </row>
    <row r="15">
      <c r="A15" t="inlineStr">
        <is>
          <t>Refer Threshold</t>
        </is>
      </c>
      <c r="B15" s="5" t="n">
        <v>0.685</v>
      </c>
      <c r="C15" t="inlineStr">
        <is>
          <t>actuarial_factor_memo.txt</t>
        </is>
      </c>
    </row>
    <row r="16">
      <c r="A16" t="inlineStr">
        <is>
          <t>Decline Threshold</t>
        </is>
      </c>
      <c r="B16" s="5" t="n">
        <v>0.85</v>
      </c>
      <c r="C16" t="inlineStr">
        <is>
          <t>actuarial_factor_memo.txt</t>
        </is>
      </c>
    </row>
    <row r="17">
      <c r="A17" t="inlineStr">
        <is>
          <t>Prior Booked Reserve</t>
        </is>
      </c>
      <c r="B17" s="4" t="n">
        <v>1104220.18</v>
      </c>
      <c r="C17" t="inlineStr">
        <is>
          <t>2024-12-31 context</t>
        </is>
      </c>
    </row>
    <row r="18">
      <c r="A18" t="inlineStr">
        <is>
          <t>Evaluation Date</t>
        </is>
      </c>
      <c r="B18" s="6" t="n">
        <v>46022</v>
      </c>
      <c r="C18" t="inlineStr">
        <is>
          <t>Year-end</t>
        </is>
      </c>
    </row>
    <row r="19">
      <c r="A19" t="inlineStr">
        <is>
          <t>Renewal Date</t>
        </is>
      </c>
      <c r="B19" s="6" t="n">
        <v>46082</v>
      </c>
      <c r="C19" t="inlineStr">
        <is>
          <t>Package renewal</t>
        </is>
      </c>
    </row>
    <row r="20">
      <c r="A20" t="inlineStr">
        <is>
          <t>Policy</t>
        </is>
      </c>
      <c r="B20" t="inlineStr">
        <is>
          <t>PKG-CA-GL-IN-2025-4418</t>
        </is>
      </c>
      <c r="C20" t="inlineStr">
        <is>
          <t>Subject policy</t>
        </is>
      </c>
    </row>
    <row r="21">
      <c r="A21" t="inlineStr">
        <is>
          <t>Draft LDF 12 (unused)</t>
        </is>
      </c>
      <c r="B21" s="3" t="n">
        <v>1.65</v>
      </c>
      <c r="C21" t="inlineStr">
        <is>
          <t>Definitions superseded</t>
        </is>
      </c>
    </row>
    <row r="22">
      <c r="A22" t="inlineStr">
        <is>
          <t>Draft LDF 24 (unused)</t>
        </is>
      </c>
      <c r="B22" s="3" t="n">
        <v>1.28</v>
      </c>
      <c r="C22" t="inlineStr">
        <is>
          <t>Definitions superseded</t>
        </is>
      </c>
    </row>
    <row r="23">
      <c r="A23" t="inlineStr">
        <is>
          <t>Draft LDF 36 (unused)</t>
        </is>
      </c>
      <c r="B23" s="3" t="n">
        <v>1.12</v>
      </c>
      <c r="C23" t="inlineStr">
        <is>
          <t>Definitions superseded</t>
        </is>
      </c>
    </row>
    <row r="24">
      <c r="A24" t="inlineStr">
        <is>
          <t>Draft LDF 48 (unused)</t>
        </is>
      </c>
      <c r="B24" s="3" t="n">
        <v>1.03</v>
      </c>
      <c r="C24" t="inlineStr">
        <is>
          <t>Definitions superseded</t>
        </is>
      </c>
    </row>
    <row r="25">
      <c r="A25" t="inlineStr">
        <is>
          <t>Duplicate Review</t>
        </is>
      </c>
      <c r="B25" t="inlineStr">
        <is>
          <t>CLM-GL-2025-0144</t>
        </is>
      </c>
      <c r="C25" t="inlineStr">
        <is>
          <t>Keep latest as_of</t>
        </is>
      </c>
    </row>
    <row r="27">
      <c r="A27" s="2" t="inlineStr">
        <is>
          <t>Governing source</t>
        </is>
      </c>
    </row>
    <row r="28">
      <c r="A28" t="inlineStr">
        <is>
          <t>Paid LDFs 1.82/1.41/1.18/1.06 — actuarial_factor_memo.txt; Definitions draft 1.65/1.28/1.12/1.03 superseded.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8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36" customWidth="1" min="10" max="10"/>
    <col width="10" customWidth="1" min="11" max="11"/>
    <col width="12" customWidth="1" min="12" max="12"/>
    <col width="8" customWidth="1" min="13" max="13"/>
    <col width="14" customWidth="1" min="14" max="14"/>
    <col width="12" customWidth="1" min="15" max="15"/>
    <col width="12" customWidth="1" min="16" max="16"/>
  </cols>
  <sheetData>
    <row r="1">
      <c r="A1" s="1" t="inlineStr">
        <is>
          <t>Crowhaven Logistics — open claims @ 2025-12-31</t>
        </is>
      </c>
    </row>
    <row r="2">
      <c r="A2" t="inlineStr">
        <is>
          <t>Source: crowhaven-logistics_open_claims.csv</t>
        </is>
      </c>
    </row>
    <row r="4">
      <c r="A4" s="2" t="inlineStr">
        <is>
          <t>Claim Number</t>
        </is>
      </c>
      <c r="B4" s="2" t="inlineStr">
        <is>
          <t>AY</t>
        </is>
      </c>
      <c r="C4" s="2" t="inlineStr">
        <is>
          <t>Line</t>
        </is>
      </c>
      <c r="D4" s="2" t="inlineStr">
        <is>
          <t>Claimant</t>
        </is>
      </c>
      <c r="E4" s="2" t="inlineStr">
        <is>
          <t>Status</t>
        </is>
      </c>
      <c r="F4" s="2" t="inlineStr">
        <is>
          <t>Paid to Date</t>
        </is>
      </c>
      <c r="G4" s="2" t="inlineStr">
        <is>
          <t>Case Reserve</t>
        </is>
      </c>
      <c r="H4" s="2" t="inlineStr">
        <is>
          <t>As Of</t>
        </is>
      </c>
      <c r="I4" s="2" t="inlineStr">
        <is>
          <t>LL Flag</t>
        </is>
      </c>
      <c r="J4" s="2" t="inlineStr">
        <is>
          <t>TPA Note</t>
        </is>
      </c>
      <c r="K4" s="2" t="inlineStr">
        <is>
          <t>Include</t>
        </is>
      </c>
      <c r="L4" s="2" t="inlineStr">
        <is>
          <t>Cleaned Case</t>
        </is>
      </c>
      <c r="M4" s="2" t="inlineStr">
        <is>
          <t>Is LL</t>
        </is>
      </c>
      <c r="N4" s="2" t="inlineStr">
        <is>
          <t>Attritional Case</t>
        </is>
      </c>
      <c r="O4" s="2" t="inlineStr">
        <is>
          <t>LL Case</t>
        </is>
      </c>
      <c r="P4" s="2" t="inlineStr">
        <is>
          <t>Disposition</t>
        </is>
      </c>
    </row>
    <row r="5">
      <c r="A5" t="inlineStr">
        <is>
          <t>CLM-AUTO-2022-0188</t>
        </is>
      </c>
      <c r="B5" t="n">
        <v>2022</v>
      </c>
      <c r="C5" t="inlineStr">
        <is>
          <t>Commercial Auto</t>
        </is>
      </c>
      <c r="D5" t="inlineStr">
        <is>
          <t>R. Holcomb</t>
        </is>
      </c>
      <c r="E5" t="inlineStr">
        <is>
          <t>Open</t>
        </is>
      </c>
      <c r="F5" s="4" t="n">
        <v>14220.18</v>
      </c>
      <c r="G5" s="4" t="n">
        <v>4810.55</v>
      </c>
      <c r="H5" s="6" t="n">
        <v>46019</v>
      </c>
      <c r="I5" t="inlineStr">
        <is>
          <t>N</t>
        </is>
      </c>
      <c r="J5" t="inlineStr"/>
      <c r="K5" t="n">
        <f>IF(OR(UPPER(E5)="VOID",A5=Assumptions!$B$13),FALSE,IF(A5=Assumptions!$B$12,FALSE,IF(H5&lt;&gt;MAXIFS($H$5:$H$45,$A$5:$A$45,A5),FALSE,TRUE)))</f>
        <v>1</v>
      </c>
      <c r="L5" t="n" s="4">
        <f>IF(K5,G5,0)</f>
        <v>4810.55</v>
      </c>
      <c r="M5" t="n">
        <f>IF(A5=Assumptions!$B$10,TRUE,FALSE)</f>
        <v>0</v>
      </c>
      <c r="N5" t="n" s="4">
        <f>IF(AND(K5,NOT(M5)),G5,0)</f>
        <v>4810.55</v>
      </c>
      <c r="O5" t="n" s="4">
        <f>IF(AND(K5,M5),G5,0)</f>
        <v>0</v>
      </c>
      <c r="P5">
        <f>IF(OR(UPPER(E5)="VOID",A5=Assumptions!$B$13),"Drop-VOID",IF(A5=Assumptions!$B$12,"Drop-closed",IF(H5&lt;&gt;MAXIFS($H$5:$H$45,$A$5:$A$45,A5),"Drop-dup",IF(M5,"Keep-LL","Keep"))))</f>
        <v/>
      </c>
    </row>
    <row r="6">
      <c r="A6" t="inlineStr">
        <is>
          <t>CLM-AUTO-2022-0441</t>
        </is>
      </c>
      <c r="B6" t="n">
        <v>2022</v>
      </c>
      <c r="C6" t="inlineStr">
        <is>
          <t>Commercial Auto</t>
        </is>
      </c>
      <c r="D6" t="inlineStr">
        <is>
          <t>S. Mercado</t>
        </is>
      </c>
      <c r="E6" t="inlineStr">
        <is>
          <t>Open</t>
        </is>
      </c>
      <c r="F6" s="4" t="n">
        <v>9880.4</v>
      </c>
      <c r="G6" s="4" t="n">
        <v>2110</v>
      </c>
      <c r="H6" s="6" t="n">
        <v>46019</v>
      </c>
      <c r="I6" t="inlineStr">
        <is>
          <t>N</t>
        </is>
      </c>
      <c r="J6" t="inlineStr"/>
      <c r="K6" t="n">
        <f>IF(OR(UPPER(E6)="VOID",A6=Assumptions!$B$13),FALSE,IF(A6=Assumptions!$B$12,FALSE,IF(H6&lt;&gt;MAXIFS($H$5:$H$45,$A$5:$A$45,A6),FALSE,TRUE)))</f>
        <v>1</v>
      </c>
      <c r="L6" t="n" s="4">
        <f>IF(K6,G6,0)</f>
        <v>2110</v>
      </c>
      <c r="M6" t="n">
        <f>IF(A6=Assumptions!$B$10,TRUE,FALSE)</f>
        <v>0</v>
      </c>
      <c r="N6" t="n" s="4">
        <f>IF(AND(K6,NOT(M6)),G6,0)</f>
        <v>2110</v>
      </c>
      <c r="O6" t="n" s="4">
        <f>IF(AND(K6,M6),G6,0)</f>
        <v>0</v>
      </c>
      <c r="P6">
        <f>IF(OR(UPPER(E6)="VOID",A6=Assumptions!$B$13),"Drop-VOID",IF(A6=Assumptions!$B$12,"Drop-closed",IF(H6&lt;&gt;MAXIFS($H$5:$H$45,$A$5:$A$45,A6),"Drop-dup",IF(M6,"Keep-LL","Keep"))))</f>
        <v/>
      </c>
    </row>
    <row r="7">
      <c r="A7" t="inlineStr">
        <is>
          <t>CLM-AUTO-2022-0612</t>
        </is>
      </c>
      <c r="B7" t="n">
        <v>2022</v>
      </c>
      <c r="C7" t="inlineStr">
        <is>
          <t>Commercial Auto</t>
        </is>
      </c>
      <c r="D7" t="inlineStr">
        <is>
          <t>P. Nguyen</t>
        </is>
      </c>
      <c r="E7" t="inlineStr">
        <is>
          <t>Open</t>
        </is>
      </c>
      <c r="F7" s="4" t="n">
        <v>22640.55</v>
      </c>
      <c r="G7" s="4" t="n">
        <v>5200.18</v>
      </c>
      <c r="H7" s="6" t="n">
        <v>46019</v>
      </c>
      <c r="I7" t="inlineStr">
        <is>
          <t>N</t>
        </is>
      </c>
      <c r="J7" t="inlineStr"/>
      <c r="K7" t="n">
        <f>IF(OR(UPPER(E7)="VOID",A7=Assumptions!$B$13),FALSE,IF(A7=Assumptions!$B$12,FALSE,IF(H7&lt;&gt;MAXIFS($H$5:$H$45,$A$5:$A$45,A7),FALSE,TRUE)))</f>
        <v>1</v>
      </c>
      <c r="L7" t="n" s="4">
        <f>IF(K7,G7,0)</f>
        <v>5200.18</v>
      </c>
      <c r="M7" t="n">
        <f>IF(A7=Assumptions!$B$10,TRUE,FALSE)</f>
        <v>0</v>
      </c>
      <c r="N7" t="n" s="4">
        <f>IF(AND(K7,NOT(M7)),G7,0)</f>
        <v>5200.18</v>
      </c>
      <c r="O7" t="n" s="4">
        <f>IF(AND(K7,M7),G7,0)</f>
        <v>0</v>
      </c>
      <c r="P7">
        <f>IF(OR(UPPER(E7)="VOID",A7=Assumptions!$B$13),"Drop-VOID",IF(A7=Assumptions!$B$12,"Drop-closed",IF(H7&lt;&gt;MAXIFS($H$5:$H$45,$A$5:$A$45,A7),"Drop-dup",IF(M7,"Keep-LL","Keep"))))</f>
        <v/>
      </c>
    </row>
    <row r="8">
      <c r="A8" t="inlineStr">
        <is>
          <t>CLM-AUTO-2022-0790</t>
        </is>
      </c>
      <c r="B8" t="n">
        <v>2022</v>
      </c>
      <c r="C8" t="inlineStr">
        <is>
          <t>Commercial Auto</t>
        </is>
      </c>
      <c r="D8" t="inlineStr">
        <is>
          <t>L. Ortiz</t>
        </is>
      </c>
      <c r="E8" t="inlineStr">
        <is>
          <t>Open</t>
        </is>
      </c>
      <c r="F8" s="4" t="n">
        <v>6110.22</v>
      </c>
      <c r="G8" s="4" t="n">
        <v>1840.55</v>
      </c>
      <c r="H8" s="6" t="n">
        <v>46019</v>
      </c>
      <c r="I8" t="inlineStr">
        <is>
          <t>N</t>
        </is>
      </c>
      <c r="J8" t="inlineStr"/>
      <c r="K8" t="n">
        <f>IF(OR(UPPER(E8)="VOID",A8=Assumptions!$B$13),FALSE,IF(A8=Assumptions!$B$12,FALSE,IF(H8&lt;&gt;MAXIFS($H$5:$H$45,$A$5:$A$45,A8),FALSE,TRUE)))</f>
        <v>1</v>
      </c>
      <c r="L8" t="n" s="4">
        <f>IF(K8,G8,0)</f>
        <v>1840.55</v>
      </c>
      <c r="M8" t="n">
        <f>IF(A8=Assumptions!$B$10,TRUE,FALSE)</f>
        <v>0</v>
      </c>
      <c r="N8" t="n" s="4">
        <f>IF(AND(K8,NOT(M8)),G8,0)</f>
        <v>1840.55</v>
      </c>
      <c r="O8" t="n" s="4">
        <f>IF(AND(K8,M8),G8,0)</f>
        <v>0</v>
      </c>
      <c r="P8">
        <f>IF(OR(UPPER(E8)="VOID",A8=Assumptions!$B$13),"Drop-VOID",IF(A8=Assumptions!$B$12,"Drop-closed",IF(H8&lt;&gt;MAXIFS($H$5:$H$45,$A$5:$A$45,A8),"Drop-dup",IF(M8,"Keep-LL","Keep"))))</f>
        <v/>
      </c>
    </row>
    <row r="9">
      <c r="A9" t="inlineStr">
        <is>
          <t>CLM-AUTO-2022-1033</t>
        </is>
      </c>
      <c r="B9" t="n">
        <v>2022</v>
      </c>
      <c r="C9" t="inlineStr">
        <is>
          <t>Commercial Auto</t>
        </is>
      </c>
      <c r="D9" t="inlineStr">
        <is>
          <t>W. Carmichael</t>
        </is>
      </c>
      <c r="E9" t="inlineStr">
        <is>
          <t>Open</t>
        </is>
      </c>
      <c r="F9" s="4" t="n">
        <v>3110.18</v>
      </c>
      <c r="G9" s="4" t="n">
        <v>2220.4</v>
      </c>
      <c r="H9" s="6" t="n">
        <v>46019</v>
      </c>
      <c r="I9" t="inlineStr">
        <is>
          <t>N</t>
        </is>
      </c>
      <c r="J9" t="inlineStr"/>
      <c r="K9" t="n">
        <f>IF(OR(UPPER(E9)="VOID",A9=Assumptions!$B$13),FALSE,IF(A9=Assumptions!$B$12,FALSE,IF(H9&lt;&gt;MAXIFS($H$5:$H$45,$A$5:$A$45,A9),FALSE,TRUE)))</f>
        <v>1</v>
      </c>
      <c r="L9" t="n" s="4">
        <f>IF(K9,G9,0)</f>
        <v>2220.4</v>
      </c>
      <c r="M9" t="n">
        <f>IF(A9=Assumptions!$B$10,TRUE,FALSE)</f>
        <v>0</v>
      </c>
      <c r="N9" t="n" s="4">
        <f>IF(AND(K9,NOT(M9)),G9,0)</f>
        <v>2220.4</v>
      </c>
      <c r="O9" t="n" s="4">
        <f>IF(AND(K9,M9),G9,0)</f>
        <v>0</v>
      </c>
      <c r="P9">
        <f>IF(OR(UPPER(E9)="VOID",A9=Assumptions!$B$13),"Drop-VOID",IF(A9=Assumptions!$B$12,"Drop-closed",IF(H9&lt;&gt;MAXIFS($H$5:$H$45,$A$5:$A$45,A9),"Drop-dup",IF(M9,"Keep-LL","Keep"))))</f>
        <v/>
      </c>
    </row>
    <row r="10">
      <c r="A10" t="inlineStr">
        <is>
          <t>CLM-AUTO-2022-1564</t>
        </is>
      </c>
      <c r="B10" t="n">
        <v>2022</v>
      </c>
      <c r="C10" t="inlineStr">
        <is>
          <t>Commercial Auto</t>
        </is>
      </c>
      <c r="D10" t="inlineStr">
        <is>
          <t>Q. Bartlett</t>
        </is>
      </c>
      <c r="E10" t="inlineStr">
        <is>
          <t>Open</t>
        </is>
      </c>
      <c r="F10" s="4" t="n">
        <v>6631.78</v>
      </c>
      <c r="G10" s="4" t="n">
        <v>4781.12</v>
      </c>
      <c r="H10" s="6" t="n">
        <v>46019</v>
      </c>
      <c r="I10" t="inlineStr">
        <is>
          <t>N</t>
        </is>
      </c>
      <c r="J10" t="inlineStr"/>
      <c r="K10" t="n">
        <f>IF(OR(UPPER(E10)="VOID",A10=Assumptions!$B$13),FALSE,IF(A10=Assumptions!$B$12,FALSE,IF(H10&lt;&gt;MAXIFS($H$5:$H$45,$A$5:$A$45,A10),FALSE,TRUE)))</f>
        <v>1</v>
      </c>
      <c r="L10" t="n" s="4">
        <f>IF(K10,G10,0)</f>
        <v>4781.12</v>
      </c>
      <c r="M10" t="n">
        <f>IF(A10=Assumptions!$B$10,TRUE,FALSE)</f>
        <v>0</v>
      </c>
      <c r="N10" t="n" s="4">
        <f>IF(AND(K10,NOT(M10)),G10,0)</f>
        <v>4781.12</v>
      </c>
      <c r="O10" t="n" s="4">
        <f>IF(AND(K10,M10),G10,0)</f>
        <v>0</v>
      </c>
      <c r="P10">
        <f>IF(OR(UPPER(E10)="VOID",A10=Assumptions!$B$13),"Drop-VOID",IF(A10=Assumptions!$B$12,"Drop-closed",IF(H10&lt;&gt;MAXIFS($H$5:$H$45,$A$5:$A$45,A10),"Drop-dup",IF(M10,"Keep-LL","Keep"))))</f>
        <v/>
      </c>
    </row>
    <row r="11">
      <c r="A11" t="inlineStr">
        <is>
          <t>CLM-GL-2022-0033</t>
        </is>
      </c>
      <c r="B11" t="n">
        <v>2022</v>
      </c>
      <c r="C11" t="inlineStr">
        <is>
          <t>General Liability</t>
        </is>
      </c>
      <c r="D11" t="inlineStr">
        <is>
          <t>Warehouse slip</t>
        </is>
      </c>
      <c r="E11" t="inlineStr">
        <is>
          <t>Open</t>
        </is>
      </c>
      <c r="F11" s="4" t="n">
        <v>7220.18</v>
      </c>
      <c r="G11" s="4" t="n">
        <v>2840.55</v>
      </c>
      <c r="H11" s="6" t="n">
        <v>46019</v>
      </c>
      <c r="I11" t="inlineStr">
        <is>
          <t>N</t>
        </is>
      </c>
      <c r="J11" t="inlineStr"/>
      <c r="K11" t="n">
        <f>IF(OR(UPPER(E11)="VOID",A11=Assumptions!$B$13),FALSE,IF(A11=Assumptions!$B$12,FALSE,IF(H11&lt;&gt;MAXIFS($H$5:$H$45,$A$5:$A$45,A11),FALSE,TRUE)))</f>
        <v>1</v>
      </c>
      <c r="L11" t="n" s="4">
        <f>IF(K11,G11,0)</f>
        <v>2840.55</v>
      </c>
      <c r="M11" t="n">
        <f>IF(A11=Assumptions!$B$10,TRUE,FALSE)</f>
        <v>0</v>
      </c>
      <c r="N11" t="n" s="4">
        <f>IF(AND(K11,NOT(M11)),G11,0)</f>
        <v>2840.55</v>
      </c>
      <c r="O11" t="n" s="4">
        <f>IF(AND(K11,M11),G11,0)</f>
        <v>0</v>
      </c>
      <c r="P11">
        <f>IF(OR(UPPER(E11)="VOID",A11=Assumptions!$B$13),"Drop-VOID",IF(A11=Assumptions!$B$12,"Drop-closed",IF(H11&lt;&gt;MAXIFS($H$5:$H$45,$A$5:$A$45,A11),"Drop-dup",IF(M11,"Keep-LL","Keep"))))</f>
        <v/>
      </c>
    </row>
    <row r="12">
      <c r="A12" t="inlineStr">
        <is>
          <t>CLM-AUTO-2023-0091</t>
        </is>
      </c>
      <c r="B12" t="n">
        <v>2023</v>
      </c>
      <c r="C12" t="inlineStr">
        <is>
          <t>Commercial Auto</t>
        </is>
      </c>
      <c r="D12" t="inlineStr">
        <is>
          <t>K. Brennan</t>
        </is>
      </c>
      <c r="E12" t="inlineStr">
        <is>
          <t>Open</t>
        </is>
      </c>
      <c r="F12" s="4" t="n">
        <v>18420.4</v>
      </c>
      <c r="G12" s="4" t="n">
        <v>6110.18</v>
      </c>
      <c r="H12" s="6" t="n">
        <v>46019</v>
      </c>
      <c r="I12" t="inlineStr">
        <is>
          <t>N</t>
        </is>
      </c>
      <c r="J12" t="inlineStr"/>
      <c r="K12" t="n">
        <f>IF(OR(UPPER(E12)="VOID",A12=Assumptions!$B$13),FALSE,IF(A12=Assumptions!$B$12,FALSE,IF(H12&lt;&gt;MAXIFS($H$5:$H$45,$A$5:$A$45,A12),FALSE,TRUE)))</f>
        <v>1</v>
      </c>
      <c r="L12" t="n" s="4">
        <f>IF(K12,G12,0)</f>
        <v>6110.18</v>
      </c>
      <c r="M12" t="n">
        <f>IF(A12=Assumptions!$B$10,TRUE,FALSE)</f>
        <v>0</v>
      </c>
      <c r="N12" t="n" s="4">
        <f>IF(AND(K12,NOT(M12)),G12,0)</f>
        <v>6110.18</v>
      </c>
      <c r="O12" t="n" s="4">
        <f>IF(AND(K12,M12),G12,0)</f>
        <v>0</v>
      </c>
      <c r="P12">
        <f>IF(OR(UPPER(E12)="VOID",A12=Assumptions!$B$13),"Drop-VOID",IF(A12=Assumptions!$B$12,"Drop-closed",IF(H12&lt;&gt;MAXIFS($H$5:$H$45,$A$5:$A$45,A12),"Drop-dup",IF(M12,"Keep-LL","Keep"))))</f>
        <v/>
      </c>
    </row>
    <row r="13">
      <c r="A13" t="inlineStr">
        <is>
          <t>CLM-AUTO-2023-0275</t>
        </is>
      </c>
      <c r="B13" t="n">
        <v>2023</v>
      </c>
      <c r="C13" t="inlineStr">
        <is>
          <t>Commercial Auto</t>
        </is>
      </c>
      <c r="D13" t="inlineStr">
        <is>
          <t>D. Singh</t>
        </is>
      </c>
      <c r="E13" t="inlineStr">
        <is>
          <t>Open</t>
        </is>
      </c>
      <c r="F13" s="4" t="n">
        <v>31220.18</v>
      </c>
      <c r="G13" s="4" t="n">
        <v>8880.4</v>
      </c>
      <c r="H13" s="6" t="n">
        <v>46019</v>
      </c>
      <c r="I13" t="inlineStr">
        <is>
          <t>N</t>
        </is>
      </c>
      <c r="J13" t="inlineStr"/>
      <c r="K13" t="n">
        <f>IF(OR(UPPER(E13)="VOID",A13=Assumptions!$B$13),FALSE,IF(A13=Assumptions!$B$12,FALSE,IF(H13&lt;&gt;MAXIFS($H$5:$H$45,$A$5:$A$45,A13),FALSE,TRUE)))</f>
        <v>1</v>
      </c>
      <c r="L13" t="n" s="4">
        <f>IF(K13,G13,0)</f>
        <v>8880.4</v>
      </c>
      <c r="M13" t="n">
        <f>IF(A13=Assumptions!$B$10,TRUE,FALSE)</f>
        <v>0</v>
      </c>
      <c r="N13" t="n" s="4">
        <f>IF(AND(K13,NOT(M13)),G13,0)</f>
        <v>8880.4</v>
      </c>
      <c r="O13" t="n" s="4">
        <f>IF(AND(K13,M13),G13,0)</f>
        <v>0</v>
      </c>
      <c r="P13">
        <f>IF(OR(UPPER(E13)="VOID",A13=Assumptions!$B$13),"Drop-VOID",IF(A13=Assumptions!$B$12,"Drop-closed",IF(H13&lt;&gt;MAXIFS($H$5:$H$45,$A$5:$A$45,A13),"Drop-dup",IF(M13,"Keep-LL","Keep"))))</f>
        <v/>
      </c>
    </row>
    <row r="14">
      <c r="A14" t="inlineStr">
        <is>
          <t>CLM-AUTO-2023-0510</t>
        </is>
      </c>
      <c r="B14" t="n">
        <v>2023</v>
      </c>
      <c r="C14" t="inlineStr">
        <is>
          <t>Commercial Auto</t>
        </is>
      </c>
      <c r="D14" t="inlineStr">
        <is>
          <t>M. Alvarez</t>
        </is>
      </c>
      <c r="E14" t="inlineStr">
        <is>
          <t>Open</t>
        </is>
      </c>
      <c r="F14" s="4" t="n">
        <v>12640.55</v>
      </c>
      <c r="G14" s="4" t="n">
        <v>4220.18</v>
      </c>
      <c r="H14" s="6" t="n">
        <v>46019</v>
      </c>
      <c r="I14" t="inlineStr">
        <is>
          <t>N</t>
        </is>
      </c>
      <c r="J14" t="inlineStr"/>
      <c r="K14" t="n">
        <f>IF(OR(UPPER(E14)="VOID",A14=Assumptions!$B$13),FALSE,IF(A14=Assumptions!$B$12,FALSE,IF(H14&lt;&gt;MAXIFS($H$5:$H$45,$A$5:$A$45,A14),FALSE,TRUE)))</f>
        <v>1</v>
      </c>
      <c r="L14" t="n" s="4">
        <f>IF(K14,G14,0)</f>
        <v>4220.18</v>
      </c>
      <c r="M14" t="n">
        <f>IF(A14=Assumptions!$B$10,TRUE,FALSE)</f>
        <v>0</v>
      </c>
      <c r="N14" t="n" s="4">
        <f>IF(AND(K14,NOT(M14)),G14,0)</f>
        <v>4220.18</v>
      </c>
      <c r="O14" t="n" s="4">
        <f>IF(AND(K14,M14),G14,0)</f>
        <v>0</v>
      </c>
      <c r="P14">
        <f>IF(OR(UPPER(E14)="VOID",A14=Assumptions!$B$13),"Drop-VOID",IF(A14=Assumptions!$B$12,"Drop-closed",IF(H14&lt;&gt;MAXIFS($H$5:$H$45,$A$5:$A$45,A14),"Drop-dup",IF(M14,"Keep-LL","Keep"))))</f>
        <v/>
      </c>
    </row>
    <row r="15">
      <c r="A15" t="inlineStr">
        <is>
          <t>CLM-AUTO-2023-0666</t>
        </is>
      </c>
      <c r="B15" t="n">
        <v>2023</v>
      </c>
      <c r="C15" t="inlineStr">
        <is>
          <t>Commercial Auto</t>
        </is>
      </c>
      <c r="D15" t="inlineStr">
        <is>
          <t>J. Whitaker</t>
        </is>
      </c>
      <c r="E15" t="inlineStr">
        <is>
          <t>Open</t>
        </is>
      </c>
      <c r="F15" s="4" t="n">
        <v>27110</v>
      </c>
      <c r="G15" s="4" t="n">
        <v>7640.55</v>
      </c>
      <c r="H15" s="6" t="n">
        <v>46019</v>
      </c>
      <c r="I15" t="inlineStr">
        <is>
          <t>N</t>
        </is>
      </c>
      <c r="J15" t="inlineStr"/>
      <c r="K15" t="n">
        <f>IF(OR(UPPER(E15)="VOID",A15=Assumptions!$B$13),FALSE,IF(A15=Assumptions!$B$12,FALSE,IF(H15&lt;&gt;MAXIFS($H$5:$H$45,$A$5:$A$45,A15),FALSE,TRUE)))</f>
        <v>1</v>
      </c>
      <c r="L15" t="n" s="4">
        <f>IF(K15,G15,0)</f>
        <v>7640.55</v>
      </c>
      <c r="M15" t="n">
        <f>IF(A15=Assumptions!$B$10,TRUE,FALSE)</f>
        <v>0</v>
      </c>
      <c r="N15" t="n" s="4">
        <f>IF(AND(K15,NOT(M15)),G15,0)</f>
        <v>7640.55</v>
      </c>
      <c r="O15" t="n" s="4">
        <f>IF(AND(K15,M15),G15,0)</f>
        <v>0</v>
      </c>
      <c r="P15">
        <f>IF(OR(UPPER(E15)="VOID",A15=Assumptions!$B$13),"Drop-VOID",IF(A15=Assumptions!$B$12,"Drop-closed",IF(H15&lt;&gt;MAXIFS($H$5:$H$45,$A$5:$A$45,A15),"Drop-dup",IF(M15,"Keep-LL","Keep"))))</f>
        <v/>
      </c>
    </row>
    <row r="16">
      <c r="A16" t="inlineStr">
        <is>
          <t>CLM-AUTO-2023-0822</t>
        </is>
      </c>
      <c r="B16" t="n">
        <v>2023</v>
      </c>
      <c r="C16" t="inlineStr">
        <is>
          <t>Commercial Auto</t>
        </is>
      </c>
      <c r="D16" t="inlineStr">
        <is>
          <t>T. Brooks</t>
        </is>
      </c>
      <c r="E16" t="inlineStr">
        <is>
          <t>Open</t>
        </is>
      </c>
      <c r="F16" s="4" t="n">
        <v>8880.4</v>
      </c>
      <c r="G16" s="4" t="n">
        <v>3220.18</v>
      </c>
      <c r="H16" s="6" t="n">
        <v>46019</v>
      </c>
      <c r="I16" t="inlineStr">
        <is>
          <t>N</t>
        </is>
      </c>
      <c r="J16" t="inlineStr"/>
      <c r="K16" t="n">
        <f>IF(OR(UPPER(E16)="VOID",A16=Assumptions!$B$13),FALSE,IF(A16=Assumptions!$B$12,FALSE,IF(H16&lt;&gt;MAXIFS($H$5:$H$45,$A$5:$A$45,A16),FALSE,TRUE)))</f>
        <v>1</v>
      </c>
      <c r="L16" t="n" s="4">
        <f>IF(K16,G16,0)</f>
        <v>3220.18</v>
      </c>
      <c r="M16" t="n">
        <f>IF(A16=Assumptions!$B$10,TRUE,FALSE)</f>
        <v>0</v>
      </c>
      <c r="N16" t="n" s="4">
        <f>IF(AND(K16,NOT(M16)),G16,0)</f>
        <v>3220.18</v>
      </c>
      <c r="O16" t="n" s="4">
        <f>IF(AND(K16,M16),G16,0)</f>
        <v>0</v>
      </c>
      <c r="P16">
        <f>IF(OR(UPPER(E16)="VOID",A16=Assumptions!$B$13),"Drop-VOID",IF(A16=Assumptions!$B$12,"Drop-closed",IF(H16&lt;&gt;MAXIFS($H$5:$H$45,$A$5:$A$45,A16),"Drop-dup",IF(M16,"Keep-LL","Keep"))))</f>
        <v/>
      </c>
    </row>
    <row r="17">
      <c r="A17" t="inlineStr">
        <is>
          <t>CLM-AUTO-2023-4412</t>
        </is>
      </c>
      <c r="B17" t="n">
        <v>2023</v>
      </c>
      <c r="C17" t="inlineStr">
        <is>
          <t>Commercial Auto</t>
        </is>
      </c>
      <c r="D17" t="inlineStr">
        <is>
          <t>Multi-vehicle I-65</t>
        </is>
      </c>
      <c r="E17" t="inlineStr">
        <is>
          <t>Open</t>
        </is>
      </c>
      <c r="F17" s="4" t="n">
        <v>185220.4</v>
      </c>
      <c r="G17" s="4" t="n">
        <v>142880.4</v>
      </c>
      <c r="H17" s="6" t="n">
        <v>46019</v>
      </c>
      <c r="I17" t="inlineStr">
        <is>
          <t>Y</t>
        </is>
      </c>
      <c r="J17" t="inlineStr">
        <is>
          <t>Severity committee; see actuarial memo</t>
        </is>
      </c>
      <c r="K17" t="n">
        <f>IF(OR(UPPER(E17)="VOID",A17=Assumptions!$B$13),FALSE,IF(A17=Assumptions!$B$12,FALSE,IF(H17&lt;&gt;MAXIFS($H$5:$H$45,$A$5:$A$45,A17),FALSE,TRUE)))</f>
        <v>1</v>
      </c>
      <c r="L17" t="n" s="4">
        <f>IF(K17,G17,0)</f>
        <v>142880.4</v>
      </c>
      <c r="M17" t="n">
        <f>IF(A17=Assumptions!$B$10,TRUE,FALSE)</f>
        <v>1</v>
      </c>
      <c r="N17" t="n" s="4">
        <f>IF(AND(K17,NOT(M17)),G17,0)</f>
        <v>0</v>
      </c>
      <c r="O17" t="n" s="4">
        <f>IF(AND(K17,M17),G17,0)</f>
        <v>142880.4</v>
      </c>
      <c r="P17">
        <f>IF(OR(UPPER(E17)="VOID",A17=Assumptions!$B$13),"Drop-VOID",IF(A17=Assumptions!$B$12,"Drop-closed",IF(H17&lt;&gt;MAXIFS($H$5:$H$45,$A$5:$A$45,A17),"Drop-dup",IF(M17,"Keep-LL","Keep"))))</f>
        <v/>
      </c>
    </row>
    <row r="18">
      <c r="A18" t="inlineStr">
        <is>
          <t>CLM-GL-2023-0118</t>
        </is>
      </c>
      <c r="B18" t="n">
        <v>2023</v>
      </c>
      <c r="C18" t="inlineStr">
        <is>
          <t>General Liability</t>
        </is>
      </c>
      <c r="D18" t="inlineStr">
        <is>
          <t>Dock damage</t>
        </is>
      </c>
      <c r="E18" t="inlineStr">
        <is>
          <t>Open</t>
        </is>
      </c>
      <c r="F18" s="4" t="n">
        <v>15640.4</v>
      </c>
      <c r="G18" s="4" t="n">
        <v>5110.18</v>
      </c>
      <c r="H18" s="6" t="n">
        <v>46019</v>
      </c>
      <c r="I18" t="inlineStr">
        <is>
          <t>N</t>
        </is>
      </c>
      <c r="J18" t="inlineStr"/>
      <c r="K18" t="n">
        <f>IF(OR(UPPER(E18)="VOID",A18=Assumptions!$B$13),FALSE,IF(A18=Assumptions!$B$12,FALSE,IF(H18&lt;&gt;MAXIFS($H$5:$H$45,$A$5:$A$45,A18),FALSE,TRUE)))</f>
        <v>1</v>
      </c>
      <c r="L18" t="n" s="4">
        <f>IF(K18,G18,0)</f>
        <v>5110.18</v>
      </c>
      <c r="M18" t="n">
        <f>IF(A18=Assumptions!$B$10,TRUE,FALSE)</f>
        <v>0</v>
      </c>
      <c r="N18" t="n" s="4">
        <f>IF(AND(K18,NOT(M18)),G18,0)</f>
        <v>5110.18</v>
      </c>
      <c r="O18" t="n" s="4">
        <f>IF(AND(K18,M18),G18,0)</f>
        <v>0</v>
      </c>
      <c r="P18">
        <f>IF(OR(UPPER(E18)="VOID",A18=Assumptions!$B$13),"Drop-VOID",IF(A18=Assumptions!$B$12,"Drop-closed",IF(H18&lt;&gt;MAXIFS($H$5:$H$45,$A$5:$A$45,A18),"Drop-dup",IF(M18,"Keep-LL","Keep"))))</f>
        <v/>
      </c>
    </row>
    <row r="19">
      <c r="A19" t="inlineStr">
        <is>
          <t>CLM-GL-2023-0290</t>
        </is>
      </c>
      <c r="B19" t="n">
        <v>2023</v>
      </c>
      <c r="C19" t="inlineStr">
        <is>
          <t>General Liability</t>
        </is>
      </c>
      <c r="D19" t="inlineStr">
        <is>
          <t>Customer injury</t>
        </is>
      </c>
      <c r="E19" t="inlineStr">
        <is>
          <t>Open</t>
        </is>
      </c>
      <c r="F19" s="4" t="n">
        <v>28880.55</v>
      </c>
      <c r="G19" s="4" t="n">
        <v>8220.4</v>
      </c>
      <c r="H19" s="6" t="n">
        <v>46019</v>
      </c>
      <c r="I19" t="inlineStr">
        <is>
          <t>N</t>
        </is>
      </c>
      <c r="J19" t="inlineStr"/>
      <c r="K19" t="n">
        <f>IF(OR(UPPER(E19)="VOID",A19=Assumptions!$B$13),FALSE,IF(A19=Assumptions!$B$12,FALSE,IF(H19&lt;&gt;MAXIFS($H$5:$H$45,$A$5:$A$45,A19),FALSE,TRUE)))</f>
        <v>1</v>
      </c>
      <c r="L19" t="n" s="4">
        <f>IF(K19,G19,0)</f>
        <v>8220.4</v>
      </c>
      <c r="M19" t="n">
        <f>IF(A19=Assumptions!$B$10,TRUE,FALSE)</f>
        <v>0</v>
      </c>
      <c r="N19" t="n" s="4">
        <f>IF(AND(K19,NOT(M19)),G19,0)</f>
        <v>8220.4</v>
      </c>
      <c r="O19" t="n" s="4">
        <f>IF(AND(K19,M19),G19,0)</f>
        <v>0</v>
      </c>
      <c r="P19">
        <f>IF(OR(UPPER(E19)="VOID",A19=Assumptions!$B$13),"Drop-VOID",IF(A19=Assumptions!$B$12,"Drop-closed",IF(H19&lt;&gt;MAXIFS($H$5:$H$45,$A$5:$A$45,A19),"Drop-dup",IF(M19,"Keep-LL","Keep"))))</f>
        <v/>
      </c>
    </row>
    <row r="20">
      <c r="A20" t="inlineStr">
        <is>
          <t>CLM-GL-2023-0442</t>
        </is>
      </c>
      <c r="B20" t="n">
        <v>2023</v>
      </c>
      <c r="C20" t="inlineStr">
        <is>
          <t>General Liability</t>
        </is>
      </c>
      <c r="D20" t="inlineStr">
        <is>
          <t>Loading bay leak</t>
        </is>
      </c>
      <c r="E20" t="inlineStr">
        <is>
          <t>Open</t>
        </is>
      </c>
      <c r="F20" s="4" t="n">
        <v>3990.58</v>
      </c>
      <c r="G20" s="4" t="n">
        <v>2860.58</v>
      </c>
      <c r="H20" s="6" t="n">
        <v>46019</v>
      </c>
      <c r="I20" t="inlineStr">
        <is>
          <t>N</t>
        </is>
      </c>
      <c r="J20" t="inlineStr"/>
      <c r="K20" t="n">
        <f>IF(OR(UPPER(E20)="VOID",A20=Assumptions!$B$13),FALSE,IF(A20=Assumptions!$B$12,FALSE,IF(H20&lt;&gt;MAXIFS($H$5:$H$45,$A$5:$A$45,A20),FALSE,TRUE)))</f>
        <v>1</v>
      </c>
      <c r="L20" t="n" s="4">
        <f>IF(K20,G20,0)</f>
        <v>2860.58</v>
      </c>
      <c r="M20" t="n">
        <f>IF(A20=Assumptions!$B$10,TRUE,FALSE)</f>
        <v>0</v>
      </c>
      <c r="N20" t="n" s="4">
        <f>IF(AND(K20,NOT(M20)),G20,0)</f>
        <v>2860.58</v>
      </c>
      <c r="O20" t="n" s="4">
        <f>IF(AND(K20,M20),G20,0)</f>
        <v>0</v>
      </c>
      <c r="P20">
        <f>IF(OR(UPPER(E20)="VOID",A20=Assumptions!$B$13),"Drop-VOID",IF(A20=Assumptions!$B$12,"Drop-closed",IF(H20&lt;&gt;MAXIFS($H$5:$H$45,$A$5:$A$45,A20),"Drop-dup",IF(M20,"Keep-LL","Keep"))))</f>
        <v/>
      </c>
    </row>
    <row r="21">
      <c r="A21" t="inlineStr">
        <is>
          <t>CLM-GL-2023-0701</t>
        </is>
      </c>
      <c r="B21" t="n">
        <v>2023</v>
      </c>
      <c r="C21" t="inlineStr">
        <is>
          <t>General Liability</t>
        </is>
      </c>
      <c r="D21" t="inlineStr">
        <is>
          <t>Gate hinge injury</t>
        </is>
      </c>
      <c r="E21" t="inlineStr">
        <is>
          <t>Open</t>
        </is>
      </c>
      <c r="F21" s="4" t="n">
        <v>7512.18</v>
      </c>
      <c r="G21" s="4" t="n">
        <v>5421.3</v>
      </c>
      <c r="H21" s="6" t="n">
        <v>46019</v>
      </c>
      <c r="I21" t="inlineStr">
        <is>
          <t>N</t>
        </is>
      </c>
      <c r="J21" t="inlineStr"/>
      <c r="K21" t="n">
        <f>IF(OR(UPPER(E21)="VOID",A21=Assumptions!$B$13),FALSE,IF(A21=Assumptions!$B$12,FALSE,IF(H21&lt;&gt;MAXIFS($H$5:$H$45,$A$5:$A$45,A21),FALSE,TRUE)))</f>
        <v>1</v>
      </c>
      <c r="L21" t="n" s="4">
        <f>IF(K21,G21,0)</f>
        <v>5421.3</v>
      </c>
      <c r="M21" t="n">
        <f>IF(A21=Assumptions!$B$10,TRUE,FALSE)</f>
        <v>0</v>
      </c>
      <c r="N21" t="n" s="4">
        <f>IF(AND(K21,NOT(M21)),G21,0)</f>
        <v>5421.3</v>
      </c>
      <c r="O21" t="n" s="4">
        <f>IF(AND(K21,M21),G21,0)</f>
        <v>0</v>
      </c>
      <c r="P21">
        <f>IF(OR(UPPER(E21)="VOID",A21=Assumptions!$B$13),"Drop-VOID",IF(A21=Assumptions!$B$12,"Drop-closed",IF(H21&lt;&gt;MAXIFS($H$5:$H$45,$A$5:$A$45,A21),"Drop-dup",IF(M21,"Keep-LL","Keep"))))</f>
        <v/>
      </c>
    </row>
    <row r="22">
      <c r="A22" t="inlineStr">
        <is>
          <t>CLM-AUTO-2024-0000</t>
        </is>
      </c>
      <c r="B22" t="n">
        <v>2024</v>
      </c>
      <c r="C22" t="inlineStr">
        <is>
          <t>Commercial Auto</t>
        </is>
      </c>
      <c r="D22" t="inlineStr">
        <is>
          <t>Cancelled FNOL</t>
        </is>
      </c>
      <c r="E22" t="inlineStr">
        <is>
          <t>VOID</t>
        </is>
      </c>
      <c r="F22" s="4" t="n">
        <v>0</v>
      </c>
      <c r="G22" s="4" t="n">
        <v>99999</v>
      </c>
      <c r="H22" s="6" t="n">
        <v>45659</v>
      </c>
      <c r="I22" t="inlineStr">
        <is>
          <t>N</t>
        </is>
      </c>
      <c r="J22" t="inlineStr">
        <is>
          <t>Voided extract artifact — ignore</t>
        </is>
      </c>
      <c r="K22" t="n">
        <f>IF(OR(UPPER(E22)="VOID",A22=Assumptions!$B$13),FALSE,IF(A22=Assumptions!$B$12,FALSE,IF(H22&lt;&gt;MAXIFS($H$5:$H$45,$A$5:$A$45,A22),FALSE,TRUE)))</f>
        <v>0</v>
      </c>
      <c r="L22" t="n" s="4">
        <f>IF(K22,G22,0)</f>
        <v>0</v>
      </c>
      <c r="M22" t="n">
        <f>IF(A22=Assumptions!$B$10,TRUE,FALSE)</f>
        <v>0</v>
      </c>
      <c r="N22" t="n" s="4">
        <f>IF(AND(K22,NOT(M22)),G22,0)</f>
        <v>0</v>
      </c>
      <c r="O22" t="n" s="4">
        <f>IF(AND(K22,M22),G22,0)</f>
        <v>0</v>
      </c>
      <c r="P22">
        <f>IF(OR(UPPER(E22)="VOID",A22=Assumptions!$B$13),"Drop-VOID",IF(A22=Assumptions!$B$12,"Drop-closed",IF(H22&lt;&gt;MAXIFS($H$5:$H$45,$A$5:$A$45,A22),"Drop-dup",IF(M22,"Keep-LL","Keep"))))</f>
        <v/>
      </c>
    </row>
    <row r="23">
      <c r="A23" t="inlineStr">
        <is>
          <t>CLM-AUTO-2024-0044</t>
        </is>
      </c>
      <c r="B23" t="n">
        <v>2024</v>
      </c>
      <c r="C23" t="inlineStr">
        <is>
          <t>Commercial Auto</t>
        </is>
      </c>
      <c r="D23" t="inlineStr">
        <is>
          <t>A. Patel</t>
        </is>
      </c>
      <c r="E23" t="inlineStr">
        <is>
          <t>Open</t>
        </is>
      </c>
      <c r="F23" s="4" t="n">
        <v>24110.22</v>
      </c>
      <c r="G23" s="4" t="n">
        <v>12880.4</v>
      </c>
      <c r="H23" s="6" t="n">
        <v>46019</v>
      </c>
      <c r="I23" t="inlineStr">
        <is>
          <t>N</t>
        </is>
      </c>
      <c r="J23" t="inlineStr"/>
      <c r="K23" t="n">
        <f>IF(OR(UPPER(E23)="VOID",A23=Assumptions!$B$13),FALSE,IF(A23=Assumptions!$B$12,FALSE,IF(H23&lt;&gt;MAXIFS($H$5:$H$45,$A$5:$A$45,A23),FALSE,TRUE)))</f>
        <v>1</v>
      </c>
      <c r="L23" t="n" s="4">
        <f>IF(K23,G23,0)</f>
        <v>12880.4</v>
      </c>
      <c r="M23" t="n">
        <f>IF(A23=Assumptions!$B$10,TRUE,FALSE)</f>
        <v>0</v>
      </c>
      <c r="N23" t="n" s="4">
        <f>IF(AND(K23,NOT(M23)),G23,0)</f>
        <v>12880.4</v>
      </c>
      <c r="O23" t="n" s="4">
        <f>IF(AND(K23,M23),G23,0)</f>
        <v>0</v>
      </c>
      <c r="P23">
        <f>IF(OR(UPPER(E23)="VOID",A23=Assumptions!$B$13),"Drop-VOID",IF(A23=Assumptions!$B$12,"Drop-closed",IF(H23&lt;&gt;MAXIFS($H$5:$H$45,$A$5:$A$45,A23),"Drop-dup",IF(M23,"Keep-LL","Keep"))))</f>
        <v/>
      </c>
    </row>
    <row r="24">
      <c r="A24" t="inlineStr">
        <is>
          <t>CLM-AUTO-2024-0318</t>
        </is>
      </c>
      <c r="B24" t="n">
        <v>2024</v>
      </c>
      <c r="C24" t="inlineStr">
        <is>
          <t>Commercial Auto</t>
        </is>
      </c>
      <c r="D24" t="inlineStr">
        <is>
          <t>C. Ramirez</t>
        </is>
      </c>
      <c r="E24" t="inlineStr">
        <is>
          <t>Open</t>
        </is>
      </c>
      <c r="F24" s="4" t="n">
        <v>16420.18</v>
      </c>
      <c r="G24" s="4" t="n">
        <v>9640.55</v>
      </c>
      <c r="H24" s="6" t="n">
        <v>46019</v>
      </c>
      <c r="I24" t="inlineStr">
        <is>
          <t>N</t>
        </is>
      </c>
      <c r="J24" t="inlineStr"/>
      <c r="K24" t="n">
        <f>IF(OR(UPPER(E24)="VOID",A24=Assumptions!$B$13),FALSE,IF(A24=Assumptions!$B$12,FALSE,IF(H24&lt;&gt;MAXIFS($H$5:$H$45,$A$5:$A$45,A24),FALSE,TRUE)))</f>
        <v>1</v>
      </c>
      <c r="L24" t="n" s="4">
        <f>IF(K24,G24,0)</f>
        <v>9640.55</v>
      </c>
      <c r="M24" t="n">
        <f>IF(A24=Assumptions!$B$10,TRUE,FALSE)</f>
        <v>0</v>
      </c>
      <c r="N24" t="n" s="4">
        <f>IF(AND(K24,NOT(M24)),G24,0)</f>
        <v>9640.55</v>
      </c>
      <c r="O24" t="n" s="4">
        <f>IF(AND(K24,M24),G24,0)</f>
        <v>0</v>
      </c>
      <c r="P24">
        <f>IF(OR(UPPER(E24)="VOID",A24=Assumptions!$B$13),"Drop-VOID",IF(A24=Assumptions!$B$12,"Drop-closed",IF(H24&lt;&gt;MAXIFS($H$5:$H$45,$A$5:$A$45,A24),"Drop-dup",IF(M24,"Keep-LL","Keep"))))</f>
        <v/>
      </c>
    </row>
    <row r="25">
      <c r="A25" t="inlineStr">
        <is>
          <t>CLM-AUTO-2024-0555</t>
        </is>
      </c>
      <c r="B25" t="n">
        <v>2024</v>
      </c>
      <c r="C25" t="inlineStr">
        <is>
          <t>Commercial Auto</t>
        </is>
      </c>
      <c r="D25" t="inlineStr">
        <is>
          <t>E. Cho</t>
        </is>
      </c>
      <c r="E25" t="inlineStr">
        <is>
          <t>Open</t>
        </is>
      </c>
      <c r="F25" s="4" t="n">
        <v>33220.4</v>
      </c>
      <c r="G25" s="4" t="n">
        <v>18110.18</v>
      </c>
      <c r="H25" s="6" t="n">
        <v>46019</v>
      </c>
      <c r="I25" t="inlineStr">
        <is>
          <t>N</t>
        </is>
      </c>
      <c r="J25" t="inlineStr"/>
      <c r="K25" t="n">
        <f>IF(OR(UPPER(E25)="VOID",A25=Assumptions!$B$13),FALSE,IF(A25=Assumptions!$B$12,FALSE,IF(H25&lt;&gt;MAXIFS($H$5:$H$45,$A$5:$A$45,A25),FALSE,TRUE)))</f>
        <v>1</v>
      </c>
      <c r="L25" t="n" s="4">
        <f>IF(K25,G25,0)</f>
        <v>18110.18</v>
      </c>
      <c r="M25" t="n">
        <f>IF(A25=Assumptions!$B$10,TRUE,FALSE)</f>
        <v>0</v>
      </c>
      <c r="N25" t="n" s="4">
        <f>IF(AND(K25,NOT(M25)),G25,0)</f>
        <v>18110.18</v>
      </c>
      <c r="O25" t="n" s="4">
        <f>IF(AND(K25,M25),G25,0)</f>
        <v>0</v>
      </c>
      <c r="P25">
        <f>IF(OR(UPPER(E25)="VOID",A25=Assumptions!$B$13),"Drop-VOID",IF(A25=Assumptions!$B$12,"Drop-closed",IF(H25&lt;&gt;MAXIFS($H$5:$H$45,$A$5:$A$45,A25),"Drop-dup",IF(M25,"Keep-LL","Keep"))))</f>
        <v/>
      </c>
    </row>
    <row r="26">
      <c r="A26" t="inlineStr">
        <is>
          <t>CLM-AUTO-2024-0712</t>
        </is>
      </c>
      <c r="B26" t="n">
        <v>2024</v>
      </c>
      <c r="C26" t="inlineStr">
        <is>
          <t>Commercial Auto</t>
        </is>
      </c>
      <c r="D26" t="inlineStr">
        <is>
          <t>N. Foster</t>
        </is>
      </c>
      <c r="E26" t="inlineStr">
        <is>
          <t>Open</t>
        </is>
      </c>
      <c r="F26" s="4" t="n">
        <v>11880.55</v>
      </c>
      <c r="G26" s="4" t="n">
        <v>7220.4</v>
      </c>
      <c r="H26" s="6" t="n">
        <v>46019</v>
      </c>
      <c r="I26" t="inlineStr">
        <is>
          <t>N</t>
        </is>
      </c>
      <c r="J26" t="inlineStr"/>
      <c r="K26" t="n">
        <f>IF(OR(UPPER(E26)="VOID",A26=Assumptions!$B$13),FALSE,IF(A26=Assumptions!$B$12,FALSE,IF(H26&lt;&gt;MAXIFS($H$5:$H$45,$A$5:$A$45,A26),FALSE,TRUE)))</f>
        <v>1</v>
      </c>
      <c r="L26" t="n" s="4">
        <f>IF(K26,G26,0)</f>
        <v>7220.4</v>
      </c>
      <c r="M26" t="n">
        <f>IF(A26=Assumptions!$B$10,TRUE,FALSE)</f>
        <v>0</v>
      </c>
      <c r="N26" t="n" s="4">
        <f>IF(AND(K26,NOT(M26)),G26,0)</f>
        <v>7220.4</v>
      </c>
      <c r="O26" t="n" s="4">
        <f>IF(AND(K26,M26),G26,0)</f>
        <v>0</v>
      </c>
      <c r="P26">
        <f>IF(OR(UPPER(E26)="VOID",A26=Assumptions!$B$13),"Drop-VOID",IF(A26=Assumptions!$B$12,"Drop-closed",IF(H26&lt;&gt;MAXIFS($H$5:$H$45,$A$5:$A$45,A26),"Drop-dup",IF(M26,"Keep-LL","Keep"))))</f>
        <v/>
      </c>
    </row>
    <row r="27">
      <c r="A27" t="inlineStr">
        <is>
          <t>CLM-AUTO-2024-0880</t>
        </is>
      </c>
      <c r="B27" t="n">
        <v>2024</v>
      </c>
      <c r="C27" t="inlineStr">
        <is>
          <t>Commercial Auto</t>
        </is>
      </c>
      <c r="D27" t="inlineStr">
        <is>
          <t>B. Keller</t>
        </is>
      </c>
      <c r="E27" t="inlineStr">
        <is>
          <t>Open</t>
        </is>
      </c>
      <c r="F27" s="4" t="n">
        <v>19640.18</v>
      </c>
      <c r="G27" s="4" t="n">
        <v>11410</v>
      </c>
      <c r="H27" s="6" t="n">
        <v>46019</v>
      </c>
      <c r="I27" t="inlineStr">
        <is>
          <t>N</t>
        </is>
      </c>
      <c r="J27" t="inlineStr"/>
      <c r="K27" t="n">
        <f>IF(OR(UPPER(E27)="VOID",A27=Assumptions!$B$13),FALSE,IF(A27=Assumptions!$B$12,FALSE,IF(H27&lt;&gt;MAXIFS($H$5:$H$45,$A$5:$A$45,A27),FALSE,TRUE)))</f>
        <v>1</v>
      </c>
      <c r="L27" t="n" s="4">
        <f>IF(K27,G27,0)</f>
        <v>11410</v>
      </c>
      <c r="M27" t="n">
        <f>IF(A27=Assumptions!$B$10,TRUE,FALSE)</f>
        <v>0</v>
      </c>
      <c r="N27" t="n" s="4">
        <f>IF(AND(K27,NOT(M27)),G27,0)</f>
        <v>11410</v>
      </c>
      <c r="O27" t="n" s="4">
        <f>IF(AND(K27,M27),G27,0)</f>
        <v>0</v>
      </c>
      <c r="P27">
        <f>IF(OR(UPPER(E27)="VOID",A27=Assumptions!$B$13),"Drop-VOID",IF(A27=Assumptions!$B$12,"Drop-closed",IF(H27&lt;&gt;MAXIFS($H$5:$H$45,$A$5:$A$45,A27),"Drop-dup",IF(M27,"Keep-LL","Keep"))))</f>
        <v/>
      </c>
    </row>
    <row r="28">
      <c r="A28" t="inlineStr">
        <is>
          <t>CLM-AUTO-2024-0908</t>
        </is>
      </c>
      <c r="B28" t="n">
        <v>2024</v>
      </c>
      <c r="C28" t="inlineStr">
        <is>
          <t>Commercial Auto</t>
        </is>
      </c>
      <c r="D28" t="inlineStr">
        <is>
          <t>C. Delgado</t>
        </is>
      </c>
      <c r="E28" t="inlineStr">
        <is>
          <t>Open</t>
        </is>
      </c>
      <c r="F28" s="4" t="n">
        <v>41880.4</v>
      </c>
      <c r="G28" s="4" t="n">
        <v>18220</v>
      </c>
      <c r="H28" s="6" t="n">
        <v>45996</v>
      </c>
      <c r="I28" t="inlineStr">
        <is>
          <t>N</t>
        </is>
      </c>
      <c r="J28" t="inlineStr">
        <is>
          <t>Final indemnity issued 2025-12-12; file closed — inventory lag</t>
        </is>
      </c>
      <c r="K28" t="n">
        <f>IF(OR(UPPER(E28)="VOID",A28=Assumptions!$B$13),FALSE,IF(A28=Assumptions!$B$12,FALSE,IF(H28&lt;&gt;MAXIFS($H$5:$H$45,$A$5:$A$45,A28),FALSE,TRUE)))</f>
        <v>0</v>
      </c>
      <c r="L28" t="n" s="4">
        <f>IF(K28,G28,0)</f>
        <v>0</v>
      </c>
      <c r="M28" t="n">
        <f>IF(A28=Assumptions!$B$10,TRUE,FALSE)</f>
        <v>0</v>
      </c>
      <c r="N28" t="n" s="4">
        <f>IF(AND(K28,NOT(M28)),G28,0)</f>
        <v>0</v>
      </c>
      <c r="O28" t="n" s="4">
        <f>IF(AND(K28,M28),G28,0)</f>
        <v>0</v>
      </c>
      <c r="P28">
        <f>IF(OR(UPPER(E28)="VOID",A28=Assumptions!$B$13),"Drop-VOID",IF(A28=Assumptions!$B$12,"Drop-closed",IF(H28&lt;&gt;MAXIFS($H$5:$H$45,$A$5:$A$45,A28),"Drop-dup",IF(M28,"Keep-LL","Keep"))))</f>
        <v/>
      </c>
    </row>
    <row r="29">
      <c r="A29" t="inlineStr">
        <is>
          <t>CLM-AUTO-2024-1190</t>
        </is>
      </c>
      <c r="B29" t="n">
        <v>2024</v>
      </c>
      <c r="C29" t="inlineStr">
        <is>
          <t>Commercial Auto</t>
        </is>
      </c>
      <c r="D29" t="inlineStr">
        <is>
          <t>V. Serrano</t>
        </is>
      </c>
      <c r="E29" t="inlineStr">
        <is>
          <t>Open</t>
        </is>
      </c>
      <c r="F29" s="4" t="n">
        <v>4870.98</v>
      </c>
      <c r="G29" s="4" t="n">
        <v>3500.76</v>
      </c>
      <c r="H29" s="6" t="n">
        <v>46019</v>
      </c>
      <c r="I29" t="inlineStr">
        <is>
          <t>N</t>
        </is>
      </c>
      <c r="J29" t="inlineStr"/>
      <c r="K29" t="n">
        <f>IF(OR(UPPER(E29)="VOID",A29=Assumptions!$B$13),FALSE,IF(A29=Assumptions!$B$12,FALSE,IF(H29&lt;&gt;MAXIFS($H$5:$H$45,$A$5:$A$45,A29),FALSE,TRUE)))</f>
        <v>1</v>
      </c>
      <c r="L29" t="n" s="4">
        <f>IF(K29,G29,0)</f>
        <v>3500.76</v>
      </c>
      <c r="M29" t="n">
        <f>IF(A29=Assumptions!$B$10,TRUE,FALSE)</f>
        <v>0</v>
      </c>
      <c r="N29" t="n" s="4">
        <f>IF(AND(K29,NOT(M29)),G29,0)</f>
        <v>3500.76</v>
      </c>
      <c r="O29" t="n" s="4">
        <f>IF(AND(K29,M29),G29,0)</f>
        <v>0</v>
      </c>
      <c r="P29">
        <f>IF(OR(UPPER(E29)="VOID",A29=Assumptions!$B$13),"Drop-VOID",IF(A29=Assumptions!$B$12,"Drop-closed",IF(H29&lt;&gt;MAXIFS($H$5:$H$45,$A$5:$A$45,A29),"Drop-dup",IF(M29,"Keep-LL","Keep"))))</f>
        <v/>
      </c>
    </row>
    <row r="30">
      <c r="A30" t="inlineStr">
        <is>
          <t>CLM-AUTO-2024-1628</t>
        </is>
      </c>
      <c r="B30" t="n">
        <v>2024</v>
      </c>
      <c r="C30" t="inlineStr">
        <is>
          <t>Commercial Auto</t>
        </is>
      </c>
      <c r="D30" t="inlineStr">
        <is>
          <t>Z. Ingram</t>
        </is>
      </c>
      <c r="E30" t="inlineStr">
        <is>
          <t>Open</t>
        </is>
      </c>
      <c r="F30" s="4" t="n">
        <v>8392.58</v>
      </c>
      <c r="G30" s="4" t="n">
        <v>6061.48</v>
      </c>
      <c r="H30" s="6" t="n">
        <v>46019</v>
      </c>
      <c r="I30" t="inlineStr">
        <is>
          <t>N</t>
        </is>
      </c>
      <c r="J30" t="inlineStr"/>
      <c r="K30" t="n">
        <f>IF(OR(UPPER(E30)="VOID",A30=Assumptions!$B$13),FALSE,IF(A30=Assumptions!$B$12,FALSE,IF(H30&lt;&gt;MAXIFS($H$5:$H$45,$A$5:$A$45,A30),FALSE,TRUE)))</f>
        <v>1</v>
      </c>
      <c r="L30" t="n" s="4">
        <f>IF(K30,G30,0)</f>
        <v>6061.48</v>
      </c>
      <c r="M30" t="n">
        <f>IF(A30=Assumptions!$B$10,TRUE,FALSE)</f>
        <v>0</v>
      </c>
      <c r="N30" t="n" s="4">
        <f>IF(AND(K30,NOT(M30)),G30,0)</f>
        <v>6061.48</v>
      </c>
      <c r="O30" t="n" s="4">
        <f>IF(AND(K30,M30),G30,0)</f>
        <v>0</v>
      </c>
      <c r="P30">
        <f>IF(OR(UPPER(E30)="VOID",A30=Assumptions!$B$13),"Drop-VOID",IF(A30=Assumptions!$B$12,"Drop-closed",IF(H30&lt;&gt;MAXIFS($H$5:$H$45,$A$5:$A$45,A30),"Drop-dup",IF(M30,"Keep-LL","Keep"))))</f>
        <v/>
      </c>
    </row>
    <row r="31">
      <c r="A31" t="inlineStr">
        <is>
          <t>CLM-GL-2024-0077</t>
        </is>
      </c>
      <c r="B31" t="n">
        <v>2024</v>
      </c>
      <c r="C31" t="inlineStr">
        <is>
          <t>General Liability</t>
        </is>
      </c>
      <c r="D31" t="inlineStr">
        <is>
          <t>Forklift strike</t>
        </is>
      </c>
      <c r="E31" t="inlineStr">
        <is>
          <t>Open</t>
        </is>
      </c>
      <c r="F31" s="4" t="n">
        <v>12110.18</v>
      </c>
      <c r="G31" s="4" t="n">
        <v>8640.55</v>
      </c>
      <c r="H31" s="6" t="n">
        <v>46019</v>
      </c>
      <c r="I31" t="inlineStr">
        <is>
          <t>N</t>
        </is>
      </c>
      <c r="J31" t="inlineStr"/>
      <c r="K31" t="n">
        <f>IF(OR(UPPER(E31)="VOID",A31=Assumptions!$B$13),FALSE,IF(A31=Assumptions!$B$12,FALSE,IF(H31&lt;&gt;MAXIFS($H$5:$H$45,$A$5:$A$45,A31),FALSE,TRUE)))</f>
        <v>1</v>
      </c>
      <c r="L31" t="n" s="4">
        <f>IF(K31,G31,0)</f>
        <v>8640.55</v>
      </c>
      <c r="M31" t="n">
        <f>IF(A31=Assumptions!$B$10,TRUE,FALSE)</f>
        <v>0</v>
      </c>
      <c r="N31" t="n" s="4">
        <f>IF(AND(K31,NOT(M31)),G31,0)</f>
        <v>8640.55</v>
      </c>
      <c r="O31" t="n" s="4">
        <f>IF(AND(K31,M31),G31,0)</f>
        <v>0</v>
      </c>
      <c r="P31">
        <f>IF(OR(UPPER(E31)="VOID",A31=Assumptions!$B$13),"Drop-VOID",IF(A31=Assumptions!$B$12,"Drop-closed",IF(H31&lt;&gt;MAXIFS($H$5:$H$45,$A$5:$A$45,A31),"Drop-dup",IF(M31,"Keep-LL","Keep"))))</f>
        <v/>
      </c>
    </row>
    <row r="32">
      <c r="A32" t="inlineStr">
        <is>
          <t>CLM-GL-2024-0215</t>
        </is>
      </c>
      <c r="B32" t="n">
        <v>2024</v>
      </c>
      <c r="C32" t="inlineStr">
        <is>
          <t>General Liability</t>
        </is>
      </c>
      <c r="D32" t="inlineStr">
        <is>
          <t>Cargo spill</t>
        </is>
      </c>
      <c r="E32" t="inlineStr">
        <is>
          <t>Open</t>
        </is>
      </c>
      <c r="F32" s="4" t="n">
        <v>18420.4</v>
      </c>
      <c r="G32" s="4" t="n">
        <v>10880.18</v>
      </c>
      <c r="H32" s="6" t="n">
        <v>46019</v>
      </c>
      <c r="I32" t="inlineStr">
        <is>
          <t>N</t>
        </is>
      </c>
      <c r="J32" t="inlineStr"/>
      <c r="K32" t="n">
        <f>IF(OR(UPPER(E32)="VOID",A32=Assumptions!$B$13),FALSE,IF(A32=Assumptions!$B$12,FALSE,IF(H32&lt;&gt;MAXIFS($H$5:$H$45,$A$5:$A$45,A32),FALSE,TRUE)))</f>
        <v>1</v>
      </c>
      <c r="L32" t="n" s="4">
        <f>IF(K32,G32,0)</f>
        <v>10880.18</v>
      </c>
      <c r="M32" t="n">
        <f>IF(A32=Assumptions!$B$10,TRUE,FALSE)</f>
        <v>0</v>
      </c>
      <c r="N32" t="n" s="4">
        <f>IF(AND(K32,NOT(M32)),G32,0)</f>
        <v>10880.18</v>
      </c>
      <c r="O32" t="n" s="4">
        <f>IF(AND(K32,M32),G32,0)</f>
        <v>0</v>
      </c>
      <c r="P32">
        <f>IF(OR(UPPER(E32)="VOID",A32=Assumptions!$B$13),"Drop-VOID",IF(A32=Assumptions!$B$12,"Drop-closed",IF(H32&lt;&gt;MAXIFS($H$5:$H$45,$A$5:$A$45,A32),"Drop-dup",IF(M32,"Keep-LL","Keep"))))</f>
        <v/>
      </c>
    </row>
    <row r="33">
      <c r="A33" t="inlineStr">
        <is>
          <t>CLM-GL-2024-0388</t>
        </is>
      </c>
      <c r="B33" t="n">
        <v>2024</v>
      </c>
      <c r="C33" t="inlineStr">
        <is>
          <t>General Liability</t>
        </is>
      </c>
      <c r="D33" t="inlineStr">
        <is>
          <t>Premise fall</t>
        </is>
      </c>
      <c r="E33" t="inlineStr">
        <is>
          <t>Open</t>
        </is>
      </c>
      <c r="F33" s="4" t="n">
        <v>9880.55</v>
      </c>
      <c r="G33" s="4" t="n">
        <v>6220.4</v>
      </c>
      <c r="H33" s="6" t="n">
        <v>46019</v>
      </c>
      <c r="I33" t="inlineStr">
        <is>
          <t>N</t>
        </is>
      </c>
      <c r="J33" t="inlineStr"/>
      <c r="K33" t="n">
        <f>IF(OR(UPPER(E33)="VOID",A33=Assumptions!$B$13),FALSE,IF(A33=Assumptions!$B$12,FALSE,IF(H33&lt;&gt;MAXIFS($H$5:$H$45,$A$5:$A$45,A33),FALSE,TRUE)))</f>
        <v>1</v>
      </c>
      <c r="L33" t="n" s="4">
        <f>IF(K33,G33,0)</f>
        <v>6220.4</v>
      </c>
      <c r="M33" t="n">
        <f>IF(A33=Assumptions!$B$10,TRUE,FALSE)</f>
        <v>0</v>
      </c>
      <c r="N33" t="n" s="4">
        <f>IF(AND(K33,NOT(M33)),G33,0)</f>
        <v>6220.4</v>
      </c>
      <c r="O33" t="n" s="4">
        <f>IF(AND(K33,M33),G33,0)</f>
        <v>0</v>
      </c>
      <c r="P33">
        <f>IF(OR(UPPER(E33)="VOID",A33=Assumptions!$B$13),"Drop-VOID",IF(A33=Assumptions!$B$12,"Drop-closed",IF(H33&lt;&gt;MAXIFS($H$5:$H$45,$A$5:$A$45,A33),"Drop-dup",IF(M33,"Keep-LL","Keep"))))</f>
        <v/>
      </c>
    </row>
    <row r="34">
      <c r="A34" t="inlineStr">
        <is>
          <t>CLM-AUTO-2025-0019</t>
        </is>
      </c>
      <c r="B34" t="n">
        <v>2025</v>
      </c>
      <c r="C34" t="inlineStr">
        <is>
          <t>Commercial Auto</t>
        </is>
      </c>
      <c r="D34" t="inlineStr">
        <is>
          <t>H. Quinn</t>
        </is>
      </c>
      <c r="E34" t="inlineStr">
        <is>
          <t>Open</t>
        </is>
      </c>
      <c r="F34" s="4" t="n">
        <v>8220.4</v>
      </c>
      <c r="G34" s="4" t="n">
        <v>14640.55</v>
      </c>
      <c r="H34" s="6" t="n">
        <v>46019</v>
      </c>
      <c r="I34" t="inlineStr">
        <is>
          <t>N</t>
        </is>
      </c>
      <c r="J34" t="inlineStr"/>
      <c r="K34" t="n">
        <f>IF(OR(UPPER(E34)="VOID",A34=Assumptions!$B$13),FALSE,IF(A34=Assumptions!$B$12,FALSE,IF(H34&lt;&gt;MAXIFS($H$5:$H$45,$A$5:$A$45,A34),FALSE,TRUE)))</f>
        <v>1</v>
      </c>
      <c r="L34" t="n" s="4">
        <f>IF(K34,G34,0)</f>
        <v>14640.55</v>
      </c>
      <c r="M34" t="n">
        <f>IF(A34=Assumptions!$B$10,TRUE,FALSE)</f>
        <v>0</v>
      </c>
      <c r="N34" t="n" s="4">
        <f>IF(AND(K34,NOT(M34)),G34,0)</f>
        <v>14640.55</v>
      </c>
      <c r="O34" t="n" s="4">
        <f>IF(AND(K34,M34),G34,0)</f>
        <v>0</v>
      </c>
      <c r="P34">
        <f>IF(OR(UPPER(E34)="VOID",A34=Assumptions!$B$13),"Drop-VOID",IF(A34=Assumptions!$B$12,"Drop-closed",IF(H34&lt;&gt;MAXIFS($H$5:$H$45,$A$5:$A$45,A34),"Drop-dup",IF(M34,"Keep-LL","Keep"))))</f>
        <v/>
      </c>
    </row>
    <row r="35">
      <c r="A35" t="inlineStr">
        <is>
          <t>CLM-AUTO-2025-0140</t>
        </is>
      </c>
      <c r="B35" t="n">
        <v>2025</v>
      </c>
      <c r="C35" t="inlineStr">
        <is>
          <t>Commercial Auto</t>
        </is>
      </c>
      <c r="D35" t="inlineStr">
        <is>
          <t>I. Delgado</t>
        </is>
      </c>
      <c r="E35" t="inlineStr">
        <is>
          <t>Open</t>
        </is>
      </c>
      <c r="F35" s="4" t="n">
        <v>14880.18</v>
      </c>
      <c r="G35" s="4" t="n">
        <v>19220.4</v>
      </c>
      <c r="H35" s="6" t="n">
        <v>46019</v>
      </c>
      <c r="I35" t="inlineStr">
        <is>
          <t>N</t>
        </is>
      </c>
      <c r="J35" t="inlineStr"/>
      <c r="K35" t="n">
        <f>IF(OR(UPPER(E35)="VOID",A35=Assumptions!$B$13),FALSE,IF(A35=Assumptions!$B$12,FALSE,IF(H35&lt;&gt;MAXIFS($H$5:$H$45,$A$5:$A$45,A35),FALSE,TRUE)))</f>
        <v>1</v>
      </c>
      <c r="L35" t="n" s="4">
        <f>IF(K35,G35,0)</f>
        <v>19220.4</v>
      </c>
      <c r="M35" t="n">
        <f>IF(A35=Assumptions!$B$10,TRUE,FALSE)</f>
        <v>0</v>
      </c>
      <c r="N35" t="n" s="4">
        <f>IF(AND(K35,NOT(M35)),G35,0)</f>
        <v>19220.4</v>
      </c>
      <c r="O35" t="n" s="4">
        <f>IF(AND(K35,M35),G35,0)</f>
        <v>0</v>
      </c>
      <c r="P35">
        <f>IF(OR(UPPER(E35)="VOID",A35=Assumptions!$B$13),"Drop-VOID",IF(A35=Assumptions!$B$12,"Drop-closed",IF(H35&lt;&gt;MAXIFS($H$5:$H$45,$A$5:$A$45,A35),"Drop-dup",IF(M35,"Keep-LL","Keep"))))</f>
        <v/>
      </c>
    </row>
    <row r="36">
      <c r="A36" t="inlineStr">
        <is>
          <t>CLM-AUTO-2025-0277</t>
        </is>
      </c>
      <c r="B36" t="n">
        <v>2025</v>
      </c>
      <c r="C36" t="inlineStr">
        <is>
          <t>Commercial Auto</t>
        </is>
      </c>
      <c r="D36" t="inlineStr">
        <is>
          <t>F. Okonkwo</t>
        </is>
      </c>
      <c r="E36" t="inlineStr">
        <is>
          <t>Open</t>
        </is>
      </c>
      <c r="F36" s="4" t="n">
        <v>6640.55</v>
      </c>
      <c r="G36" s="4" t="n">
        <v>11110.22</v>
      </c>
      <c r="H36" s="6" t="n">
        <v>46019</v>
      </c>
      <c r="I36" t="inlineStr">
        <is>
          <t>N</t>
        </is>
      </c>
      <c r="J36" t="inlineStr"/>
      <c r="K36" t="n">
        <f>IF(OR(UPPER(E36)="VOID",A36=Assumptions!$B$13),FALSE,IF(A36=Assumptions!$B$12,FALSE,IF(H36&lt;&gt;MAXIFS($H$5:$H$45,$A$5:$A$45,A36),FALSE,TRUE)))</f>
        <v>1</v>
      </c>
      <c r="L36" t="n" s="4">
        <f>IF(K36,G36,0)</f>
        <v>11110.22</v>
      </c>
      <c r="M36" t="n">
        <f>IF(A36=Assumptions!$B$10,TRUE,FALSE)</f>
        <v>0</v>
      </c>
      <c r="N36" t="n" s="4">
        <f>IF(AND(K36,NOT(M36)),G36,0)</f>
        <v>11110.22</v>
      </c>
      <c r="O36" t="n" s="4">
        <f>IF(AND(K36,M36),G36,0)</f>
        <v>0</v>
      </c>
      <c r="P36">
        <f>IF(OR(UPPER(E36)="VOID",A36=Assumptions!$B$13),"Drop-VOID",IF(A36=Assumptions!$B$12,"Drop-closed",IF(H36&lt;&gt;MAXIFS($H$5:$H$45,$A$5:$A$45,A36),"Drop-dup",IF(M36,"Keep-LL","Keep"))))</f>
        <v/>
      </c>
    </row>
    <row r="37">
      <c r="A37" t="inlineStr">
        <is>
          <t>CLM-AUTO-2025-0391</t>
        </is>
      </c>
      <c r="B37" t="n">
        <v>2025</v>
      </c>
      <c r="C37" t="inlineStr">
        <is>
          <t>Commercial Auto</t>
        </is>
      </c>
      <c r="D37" t="inlineStr">
        <is>
          <t>G. Marsh</t>
        </is>
      </c>
      <c r="E37" t="inlineStr">
        <is>
          <t>Open</t>
        </is>
      </c>
      <c r="F37" s="4" t="n">
        <v>21110</v>
      </c>
      <c r="G37" s="4" t="n">
        <v>16880.4</v>
      </c>
      <c r="H37" s="6" t="n">
        <v>46019</v>
      </c>
      <c r="I37" t="inlineStr">
        <is>
          <t>N</t>
        </is>
      </c>
      <c r="J37" t="inlineStr"/>
      <c r="K37" t="n">
        <f>IF(OR(UPPER(E37)="VOID",A37=Assumptions!$B$13),FALSE,IF(A37=Assumptions!$B$12,FALSE,IF(H37&lt;&gt;MAXIFS($H$5:$H$45,$A$5:$A$45,A37),FALSE,TRUE)))</f>
        <v>1</v>
      </c>
      <c r="L37" t="n" s="4">
        <f>IF(K37,G37,0)</f>
        <v>16880.4</v>
      </c>
      <c r="M37" t="n">
        <f>IF(A37=Assumptions!$B$10,TRUE,FALSE)</f>
        <v>0</v>
      </c>
      <c r="N37" t="n" s="4">
        <f>IF(AND(K37,NOT(M37)),G37,0)</f>
        <v>16880.4</v>
      </c>
      <c r="O37" t="n" s="4">
        <f>IF(AND(K37,M37),G37,0)</f>
        <v>0</v>
      </c>
      <c r="P37">
        <f>IF(OR(UPPER(E37)="VOID",A37=Assumptions!$B$13),"Drop-VOID",IF(A37=Assumptions!$B$12,"Drop-closed",IF(H37&lt;&gt;MAXIFS($H$5:$H$45,$A$5:$A$45,A37),"Drop-dup",IF(M37,"Keep-LL","Keep"))))</f>
        <v/>
      </c>
    </row>
    <row r="38">
      <c r="A38" t="inlineStr">
        <is>
          <t>CLM-AUTO-2025-0502</t>
        </is>
      </c>
      <c r="B38" t="n">
        <v>2025</v>
      </c>
      <c r="C38" t="inlineStr">
        <is>
          <t>Commercial Auto</t>
        </is>
      </c>
      <c r="D38" t="inlineStr">
        <is>
          <t>Y. Tran</t>
        </is>
      </c>
      <c r="E38" t="inlineStr">
        <is>
          <t>Open</t>
        </is>
      </c>
      <c r="F38" s="4" t="n">
        <v>9420.18</v>
      </c>
      <c r="G38" s="4" t="n">
        <v>9640.55</v>
      </c>
      <c r="H38" s="6" t="n">
        <v>46019</v>
      </c>
      <c r="I38" t="inlineStr">
        <is>
          <t>N</t>
        </is>
      </c>
      <c r="J38" t="inlineStr"/>
      <c r="K38" t="n">
        <f>IF(OR(UPPER(E38)="VOID",A38=Assumptions!$B$13),FALSE,IF(A38=Assumptions!$B$12,FALSE,IF(H38&lt;&gt;MAXIFS($H$5:$H$45,$A$5:$A$45,A38),FALSE,TRUE)))</f>
        <v>1</v>
      </c>
      <c r="L38" t="n" s="4">
        <f>IF(K38,G38,0)</f>
        <v>9640.55</v>
      </c>
      <c r="M38" t="n">
        <f>IF(A38=Assumptions!$B$10,TRUE,FALSE)</f>
        <v>0</v>
      </c>
      <c r="N38" t="n" s="4">
        <f>IF(AND(K38,NOT(M38)),G38,0)</f>
        <v>9640.55</v>
      </c>
      <c r="O38" t="n" s="4">
        <f>IF(AND(K38,M38),G38,0)</f>
        <v>0</v>
      </c>
      <c r="P38">
        <f>IF(OR(UPPER(E38)="VOID",A38=Assumptions!$B$13),"Drop-VOID",IF(A38=Assumptions!$B$12,"Drop-closed",IF(H38&lt;&gt;MAXIFS($H$5:$H$45,$A$5:$A$45,A38),"Drop-dup",IF(M38,"Keep-LL","Keep"))))</f>
        <v/>
      </c>
    </row>
    <row r="39">
      <c r="A39" t="inlineStr">
        <is>
          <t>CLM-GL-2025-0021</t>
        </is>
      </c>
      <c r="B39" t="n">
        <v>2025</v>
      </c>
      <c r="C39" t="inlineStr">
        <is>
          <t>General Liability</t>
        </is>
      </c>
      <c r="D39" t="inlineStr">
        <is>
          <t>Visitor injury</t>
        </is>
      </c>
      <c r="E39" t="inlineStr">
        <is>
          <t>Open</t>
        </is>
      </c>
      <c r="F39" s="4" t="n">
        <v>11220.18</v>
      </c>
      <c r="G39" s="4" t="n">
        <v>12640.55</v>
      </c>
      <c r="H39" s="6" t="n">
        <v>46019</v>
      </c>
      <c r="I39" t="inlineStr">
        <is>
          <t>N</t>
        </is>
      </c>
      <c r="J39" t="inlineStr"/>
      <c r="K39" t="n">
        <f>IF(OR(UPPER(E39)="VOID",A39=Assumptions!$B$13),FALSE,IF(A39=Assumptions!$B$12,FALSE,IF(H39&lt;&gt;MAXIFS($H$5:$H$45,$A$5:$A$45,A39),FALSE,TRUE)))</f>
        <v>1</v>
      </c>
      <c r="L39" t="n" s="4">
        <f>IF(K39,G39,0)</f>
        <v>12640.55</v>
      </c>
      <c r="M39" t="n">
        <f>IF(A39=Assumptions!$B$10,TRUE,FALSE)</f>
        <v>0</v>
      </c>
      <c r="N39" t="n" s="4">
        <f>IF(AND(K39,NOT(M39)),G39,0)</f>
        <v>12640.55</v>
      </c>
      <c r="O39" t="n" s="4">
        <f>IF(AND(K39,M39),G39,0)</f>
        <v>0</v>
      </c>
      <c r="P39">
        <f>IF(OR(UPPER(E39)="VOID",A39=Assumptions!$B$13),"Drop-VOID",IF(A39=Assumptions!$B$12,"Drop-closed",IF(H39&lt;&gt;MAXIFS($H$5:$H$45,$A$5:$A$45,A39),"Drop-dup",IF(M39,"Keep-LL","Keep"))))</f>
        <v/>
      </c>
    </row>
    <row r="40">
      <c r="A40" t="inlineStr">
        <is>
          <t>CLM-GL-2025-0088</t>
        </is>
      </c>
      <c r="B40" t="n">
        <v>2025</v>
      </c>
      <c r="C40" t="inlineStr">
        <is>
          <t>General Liability</t>
        </is>
      </c>
      <c r="D40" t="inlineStr">
        <is>
          <t>Property damage</t>
        </is>
      </c>
      <c r="E40" t="inlineStr">
        <is>
          <t>Open</t>
        </is>
      </c>
      <c r="F40" s="4" t="n">
        <v>16640.4</v>
      </c>
      <c r="G40" s="4" t="n">
        <v>14110.18</v>
      </c>
      <c r="H40" s="6" t="n">
        <v>46019</v>
      </c>
      <c r="I40" t="inlineStr">
        <is>
          <t>N</t>
        </is>
      </c>
      <c r="J40" t="inlineStr"/>
      <c r="K40" t="n">
        <f>IF(OR(UPPER(E40)="VOID",A40=Assumptions!$B$13),FALSE,IF(A40=Assumptions!$B$12,FALSE,IF(H40&lt;&gt;MAXIFS($H$5:$H$45,$A$5:$A$45,A40),FALSE,TRUE)))</f>
        <v>1</v>
      </c>
      <c r="L40" t="n" s="4">
        <f>IF(K40,G40,0)</f>
        <v>14110.18</v>
      </c>
      <c r="M40" t="n">
        <f>IF(A40=Assumptions!$B$10,TRUE,FALSE)</f>
        <v>0</v>
      </c>
      <c r="N40" t="n" s="4">
        <f>IF(AND(K40,NOT(M40)),G40,0)</f>
        <v>14110.18</v>
      </c>
      <c r="O40" t="n" s="4">
        <f>IF(AND(K40,M40),G40,0)</f>
        <v>0</v>
      </c>
      <c r="P40">
        <f>IF(OR(UPPER(E40)="VOID",A40=Assumptions!$B$13),"Drop-VOID",IF(A40=Assumptions!$B$12,"Drop-closed",IF(H40&lt;&gt;MAXIFS($H$5:$H$45,$A$5:$A$45,A40),"Drop-dup",IF(M40,"Keep-LL","Keep"))))</f>
        <v/>
      </c>
    </row>
    <row r="41">
      <c r="A41" t="inlineStr">
        <is>
          <t>CLM-GL-2025-0144</t>
        </is>
      </c>
      <c r="B41" t="n">
        <v>2025</v>
      </c>
      <c r="C41" t="inlineStr">
        <is>
          <t>General Liability</t>
        </is>
      </c>
      <c r="D41" t="inlineStr">
        <is>
          <t>Terminal visitor</t>
        </is>
      </c>
      <c r="E41" t="inlineStr">
        <is>
          <t>Open</t>
        </is>
      </c>
      <c r="F41" s="4" t="n">
        <v>4220.18</v>
      </c>
      <c r="G41" s="4" t="n">
        <v>22400</v>
      </c>
      <c r="H41" s="6" t="n">
        <v>45991</v>
      </c>
      <c r="I41" t="inlineStr">
        <is>
          <t>N</t>
        </is>
      </c>
      <c r="J41" t="inlineStr">
        <is>
          <t>Preliminary case</t>
        </is>
      </c>
      <c r="K41" t="n">
        <f>IF(OR(UPPER(E41)="VOID",A41=Assumptions!$B$13),FALSE,IF(A41=Assumptions!$B$12,FALSE,IF(H41&lt;&gt;MAXIFS($H$5:$H$45,$A$5:$A$45,A41),FALSE,TRUE)))</f>
        <v>0</v>
      </c>
      <c r="L41" t="n" s="4">
        <f>IF(K41,G41,0)</f>
        <v>0</v>
      </c>
      <c r="M41" t="n">
        <f>IF(A41=Assumptions!$B$10,TRUE,FALSE)</f>
        <v>0</v>
      </c>
      <c r="N41" t="n" s="4">
        <f>IF(AND(K41,NOT(M41)),G41,0)</f>
        <v>0</v>
      </c>
      <c r="O41" t="n" s="4">
        <f>IF(AND(K41,M41),G41,0)</f>
        <v>0</v>
      </c>
      <c r="P41">
        <f>IF(OR(UPPER(E41)="VOID",A41=Assumptions!$B$13),"Drop-VOID",IF(A41=Assumptions!$B$12,"Drop-closed",IF(H41&lt;&gt;MAXIFS($H$5:$H$45,$A$5:$A$45,A41),"Drop-dup",IF(M41,"Keep-LL","Keep"))))</f>
        <v/>
      </c>
    </row>
    <row r="42">
      <c r="A42" t="inlineStr">
        <is>
          <t>CLM-GL-2025-0144</t>
        </is>
      </c>
      <c r="B42" t="n">
        <v>2025</v>
      </c>
      <c r="C42" t="inlineStr">
        <is>
          <t>General Liability</t>
        </is>
      </c>
      <c r="D42" t="inlineStr">
        <is>
          <t>Terminal visitor</t>
        </is>
      </c>
      <c r="E42" t="inlineStr">
        <is>
          <t>Open</t>
        </is>
      </c>
      <c r="F42" s="4" t="n">
        <v>6880.4</v>
      </c>
      <c r="G42" s="4" t="n">
        <v>19850.55</v>
      </c>
      <c r="H42" s="6" t="n">
        <v>46019</v>
      </c>
      <c r="I42" t="inlineStr">
        <is>
          <t>N</t>
        </is>
      </c>
      <c r="J42" t="inlineStr">
        <is>
          <t>Adjusted after defense counsel update</t>
        </is>
      </c>
      <c r="K42" t="n">
        <f>IF(OR(UPPER(E42)="VOID",A42=Assumptions!$B$13),FALSE,IF(A42=Assumptions!$B$12,FALSE,IF(H42&lt;&gt;MAXIFS($H$5:$H$45,$A$5:$A$45,A42),FALSE,TRUE)))</f>
        <v>1</v>
      </c>
      <c r="L42" t="n" s="4">
        <f>IF(K42,G42,0)</f>
        <v>19850.55</v>
      </c>
      <c r="M42" t="n">
        <f>IF(A42=Assumptions!$B$10,TRUE,FALSE)</f>
        <v>0</v>
      </c>
      <c r="N42" t="n" s="4">
        <f>IF(AND(K42,NOT(M42)),G42,0)</f>
        <v>19850.55</v>
      </c>
      <c r="O42" t="n" s="4">
        <f>IF(AND(K42,M42),G42,0)</f>
        <v>0</v>
      </c>
      <c r="P42">
        <f>IF(OR(UPPER(E42)="VOID",A42=Assumptions!$B$13),"Drop-VOID",IF(A42=Assumptions!$B$12,"Drop-closed",IF(H42&lt;&gt;MAXIFS($H$5:$H$45,$A$5:$A$45,A42),"Drop-dup",IF(M42,"Keep-LL","Keep"))))</f>
        <v/>
      </c>
    </row>
    <row r="43">
      <c r="A43" t="inlineStr">
        <is>
          <t>CLM-GL-2025-0205</t>
        </is>
      </c>
      <c r="B43" t="n">
        <v>2025</v>
      </c>
      <c r="C43" t="inlineStr">
        <is>
          <t>General Liability</t>
        </is>
      </c>
      <c r="D43" t="inlineStr">
        <is>
          <t>Product allegation</t>
        </is>
      </c>
      <c r="E43" t="inlineStr">
        <is>
          <t>Open</t>
        </is>
      </c>
      <c r="F43" s="4" t="n">
        <v>22880.55</v>
      </c>
      <c r="G43" s="4" t="n">
        <v>18220.4</v>
      </c>
      <c r="H43" s="6" t="n">
        <v>46019</v>
      </c>
      <c r="I43" t="inlineStr">
        <is>
          <t>N</t>
        </is>
      </c>
      <c r="J43" t="inlineStr"/>
      <c r="K43" t="n">
        <f>IF(OR(UPPER(E43)="VOID",A43=Assumptions!$B$13),FALSE,IF(A43=Assumptions!$B$12,FALSE,IF(H43&lt;&gt;MAXIFS($H$5:$H$45,$A$5:$A$45,A43),FALSE,TRUE)))</f>
        <v>1</v>
      </c>
      <c r="L43" t="n" s="4">
        <f>IF(K43,G43,0)</f>
        <v>18220.4</v>
      </c>
      <c r="M43" t="n">
        <f>IF(A43=Assumptions!$B$10,TRUE,FALSE)</f>
        <v>0</v>
      </c>
      <c r="N43" t="n" s="4">
        <f>IF(AND(K43,NOT(M43)),G43,0)</f>
        <v>18220.4</v>
      </c>
      <c r="O43" t="n" s="4">
        <f>IF(AND(K43,M43),G43,0)</f>
        <v>0</v>
      </c>
      <c r="P43">
        <f>IF(OR(UPPER(E43)="VOID",A43=Assumptions!$B$13),"Drop-VOID",IF(A43=Assumptions!$B$12,"Drop-closed",IF(H43&lt;&gt;MAXIFS($H$5:$H$45,$A$5:$A$45,A43),"Drop-dup",IF(M43,"Keep-LL","Keep"))))</f>
        <v/>
      </c>
    </row>
    <row r="44">
      <c r="A44" t="inlineStr">
        <is>
          <t>CLM-GL-2025-0317</t>
        </is>
      </c>
      <c r="B44" t="n">
        <v>2025</v>
      </c>
      <c r="C44" t="inlineStr">
        <is>
          <t>General Liability</t>
        </is>
      </c>
      <c r="D44" t="inlineStr">
        <is>
          <t>Sidewalk trip</t>
        </is>
      </c>
      <c r="E44" t="inlineStr">
        <is>
          <t>Open</t>
        </is>
      </c>
      <c r="F44" s="4" t="n">
        <v>5751.38</v>
      </c>
      <c r="G44" s="4" t="n">
        <v>4140.94</v>
      </c>
      <c r="H44" s="6" t="n">
        <v>46019</v>
      </c>
      <c r="I44" t="inlineStr">
        <is>
          <t>N</t>
        </is>
      </c>
      <c r="J44" t="inlineStr"/>
      <c r="K44" t="n">
        <f>IF(OR(UPPER(E44)="VOID",A44=Assumptions!$B$13),FALSE,IF(A44=Assumptions!$B$12,FALSE,IF(H44&lt;&gt;MAXIFS($H$5:$H$45,$A$5:$A$45,A44),FALSE,TRUE)))</f>
        <v>1</v>
      </c>
      <c r="L44" t="n" s="4">
        <f>IF(K44,G44,0)</f>
        <v>4140.94</v>
      </c>
      <c r="M44" t="n">
        <f>IF(A44=Assumptions!$B$10,TRUE,FALSE)</f>
        <v>0</v>
      </c>
      <c r="N44" t="n" s="4">
        <f>IF(AND(K44,NOT(M44)),G44,0)</f>
        <v>4140.94</v>
      </c>
      <c r="O44" t="n" s="4">
        <f>IF(AND(K44,M44),G44,0)</f>
        <v>0</v>
      </c>
      <c r="P44">
        <f>IF(OR(UPPER(E44)="VOID",A44=Assumptions!$B$13),"Drop-VOID",IF(A44=Assumptions!$B$12,"Drop-closed",IF(H44&lt;&gt;MAXIFS($H$5:$H$45,$A$5:$A$45,A44),"Drop-dup",IF(M44,"Keep-LL","Keep"))))</f>
        <v/>
      </c>
    </row>
    <row r="45">
      <c r="A45" t="inlineStr">
        <is>
          <t>CLM-GL-2025-0559</t>
        </is>
      </c>
      <c r="B45" t="n">
        <v>2025</v>
      </c>
      <c r="C45" t="inlineStr">
        <is>
          <t>General Liability</t>
        </is>
      </c>
      <c r="D45" t="inlineStr">
        <is>
          <t>Scale house claim</t>
        </is>
      </c>
      <c r="E45" t="inlineStr">
        <is>
          <t>Open</t>
        </is>
      </c>
      <c r="F45" s="4" t="n">
        <v>9272.98</v>
      </c>
      <c r="G45" s="4" t="n">
        <v>6701.66</v>
      </c>
      <c r="H45" s="6" t="n">
        <v>46019</v>
      </c>
      <c r="I45" t="inlineStr">
        <is>
          <t>N</t>
        </is>
      </c>
      <c r="J45" t="inlineStr"/>
      <c r="K45" t="n">
        <f>IF(OR(UPPER(E45)="VOID",A45=Assumptions!$B$13),FALSE,IF(A45=Assumptions!$B$12,FALSE,IF(H45&lt;&gt;MAXIFS($H$5:$H$45,$A$5:$A$45,A45),FALSE,TRUE)))</f>
        <v>1</v>
      </c>
      <c r="L45" t="n" s="4">
        <f>IF(K45,G45,0)</f>
        <v>6701.66</v>
      </c>
      <c r="M45" t="n">
        <f>IF(A45=Assumptions!$B$10,TRUE,FALSE)</f>
        <v>0</v>
      </c>
      <c r="N45" t="n" s="4">
        <f>IF(AND(K45,NOT(M45)),G45,0)</f>
        <v>6701.66</v>
      </c>
      <c r="O45" t="n" s="4">
        <f>IF(AND(K45,M45),G45,0)</f>
        <v>0</v>
      </c>
      <c r="P45">
        <f>IF(OR(UPPER(E45)="VOID",A45=Assumptions!$B$13),"Drop-VOID",IF(A45=Assumptions!$B$12,"Drop-closed",IF(H45&lt;&gt;MAXIFS($H$5:$H$45,$A$5:$A$45,A45),"Drop-dup",IF(M45,"Keep-LL","Keep"))))</f>
        <v/>
      </c>
    </row>
    <row r="46">
      <c r="D46" s="2" t="inlineStr">
        <is>
          <t>TOTALS</t>
        </is>
      </c>
      <c r="L46" t="n" s="4">
        <f>SUM(L5:L45)</f>
        <v>460089</v>
      </c>
      <c r="N46" t="n" s="4">
        <f>SUM(N5:N45)</f>
        <v>317208.6</v>
      </c>
      <c r="O46" t="n" s="4">
        <f>SUM(O5:O45)</f>
        <v>142880.4</v>
      </c>
    </row>
  </sheetData>
  <autoFilter ref="A4:P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AY Development</t>
        </is>
      </c>
    </row>
    <row r="2">
      <c r="A2" t="inlineStr">
        <is>
          <t>Paid LDFs per actuarial memo; draft factors on Definitions tab are superseded.</t>
        </is>
      </c>
    </row>
    <row r="4">
      <c r="A4" s="2" t="inlineStr">
        <is>
          <t>AY</t>
        </is>
      </c>
      <c r="B4" s="2" t="inlineStr">
        <is>
          <t>Age (mo)</t>
        </is>
      </c>
      <c r="C4" s="2" t="inlineStr">
        <is>
          <t>Paid LDF</t>
        </is>
      </c>
      <c r="D4" s="2" t="inlineStr">
        <is>
          <t>Gross Paid</t>
        </is>
      </c>
      <c r="E4" s="2" t="inlineStr">
        <is>
          <t>LL Paid Carve</t>
        </is>
      </c>
      <c r="F4" s="2" t="inlineStr">
        <is>
          <t>Attritional Paid</t>
        </is>
      </c>
      <c r="G4" s="2" t="inlineStr">
        <is>
          <t>Attritional Ult</t>
        </is>
      </c>
      <c r="H4" s="2" t="inlineStr">
        <is>
          <t>Attritional Case</t>
        </is>
      </c>
      <c r="I4" s="2" t="inlineStr">
        <is>
          <t>Pure IBNR</t>
        </is>
      </c>
      <c r="J4" s="2" t="inlineStr">
        <is>
          <t>LL Case</t>
        </is>
      </c>
      <c r="K4" s="2" t="inlineStr">
        <is>
          <t>LL Ultimate</t>
        </is>
      </c>
      <c r="L4" s="2" t="inlineStr">
        <is>
          <t>Indicated Ultimate</t>
        </is>
      </c>
      <c r="M4" s="2" t="inlineStr">
        <is>
          <t>Cleaned Case</t>
        </is>
      </c>
    </row>
    <row r="5">
      <c r="A5" t="n">
        <v>2022</v>
      </c>
      <c r="B5" t="n">
        <v>48</v>
      </c>
      <c r="C5" t="n" s="3">
        <f>IF(B5=12,Assumptions!$B$6,IF(B5=24,Assumptions!$B$7,IF(B5=36,Assumptions!$B$8,Assumptions!$B$9)))</f>
        <v>1.06</v>
      </c>
      <c r="D5" s="4" t="n">
        <v>412840.55</v>
      </c>
      <c r="E5" t="n" s="4">
        <f>IF(COUNTIFS('Case Inventory'!$A$5:$A$45,Assumptions!$B$10,'Case Inventory'!$B$5:$B$45,A5)&gt;0,Assumptions!$B$11,0)</f>
        <v>0</v>
      </c>
      <c r="F5" t="n" s="4">
        <f>D5-E5</f>
        <v>412840.55</v>
      </c>
      <c r="G5" t="n" s="4">
        <f>ROUND(F5*C5,2)</f>
        <v>437610.98</v>
      </c>
      <c r="H5" t="n" s="4">
        <f>SUMIFS('Case Inventory'!$N$5:$N$45,'Case Inventory'!$B$5:$B$45,A5)</f>
        <v>23803.35</v>
      </c>
      <c r="I5" t="n" s="4">
        <f>MAX(0,ROUND(G5-F5-H5,2))</f>
        <v>967.08</v>
      </c>
      <c r="J5" t="n" s="4">
        <f>SUMIFS('Case Inventory'!$O$5:$O$45,'Case Inventory'!$B$5:$B$45,A5)</f>
        <v>0</v>
      </c>
      <c r="K5" t="n" s="4">
        <f>ROUND(E5+J5,2)</f>
        <v>0</v>
      </c>
      <c r="L5" t="n" s="4">
        <f>ROUND(G5+K5,2)</f>
        <v>437610.98</v>
      </c>
      <c r="M5" t="n" s="4">
        <f>SUMIFS('Case Inventory'!$L$5:$L$45,'Case Inventory'!$B$5:$B$45,A5)</f>
        <v>23803.35</v>
      </c>
    </row>
    <row r="6">
      <c r="A6" t="n">
        <v>2023</v>
      </c>
      <c r="B6" t="n">
        <v>36</v>
      </c>
      <c r="C6" t="n" s="3">
        <f>IF(B6=12,Assumptions!$B$6,IF(B6=24,Assumptions!$B$7,IF(B6=36,Assumptions!$B$8,Assumptions!$B$9)))</f>
        <v>1.18</v>
      </c>
      <c r="D6" s="4" t="n">
        <v>628410.22</v>
      </c>
      <c r="E6" t="n" s="4">
        <f>IF(COUNTIFS('Case Inventory'!$A$5:$A$45,Assumptions!$B$10,'Case Inventory'!$B$5:$B$45,A6)&gt;0,Assumptions!$B$11,0)</f>
        <v>185220.4</v>
      </c>
      <c r="F6" t="n" s="4">
        <f>D6-E6</f>
        <v>443189.82</v>
      </c>
      <c r="G6" t="n" s="4">
        <f>ROUND(F6*C6,2)</f>
        <v>522963.99</v>
      </c>
      <c r="H6" t="n" s="4">
        <f>SUMIFS('Case Inventory'!$N$5:$N$45,'Case Inventory'!$B$5:$B$45,A6)</f>
        <v>51683.95</v>
      </c>
      <c r="I6" t="n" s="4">
        <f>MAX(0,ROUND(G6-F6-H6,2))</f>
        <v>28090.22</v>
      </c>
      <c r="J6" t="n" s="4">
        <f>SUMIFS('Case Inventory'!$O$5:$O$45,'Case Inventory'!$B$5:$B$45,A6)</f>
        <v>142880.4</v>
      </c>
      <c r="K6" t="n" s="4">
        <f>ROUND(E6+J6,2)</f>
        <v>328100.8</v>
      </c>
      <c r="L6" t="n" s="4">
        <f>ROUND(G6+K6,2)</f>
        <v>851064.79</v>
      </c>
      <c r="M6" t="n" s="4">
        <f>SUMIFS('Case Inventory'!$L$5:$L$45,'Case Inventory'!$B$5:$B$45,A6)</f>
        <v>194564.35</v>
      </c>
    </row>
    <row r="7">
      <c r="A7" t="n">
        <v>2024</v>
      </c>
      <c r="B7" t="n">
        <v>24</v>
      </c>
      <c r="C7" t="n" s="3">
        <f>IF(B7=12,Assumptions!$B$6,IF(B7=24,Assumptions!$B$7,IF(B7=36,Assumptions!$B$8,Assumptions!$B$9)))</f>
        <v>1.41</v>
      </c>
      <c r="D7" s="4" t="n">
        <v>391220.18</v>
      </c>
      <c r="E7" t="n" s="4">
        <f>IF(COUNTIFS('Case Inventory'!$A$5:$A$45,Assumptions!$B$10,'Case Inventory'!$B$5:$B$45,A7)&gt;0,Assumptions!$B$11,0)</f>
        <v>0</v>
      </c>
      <c r="F7" t="n" s="4">
        <f>D7-E7</f>
        <v>391220.18</v>
      </c>
      <c r="G7" t="n" s="4">
        <f>ROUND(F7*C7,2)</f>
        <v>551620.45</v>
      </c>
      <c r="H7" t="n" s="4">
        <f>SUMIFS('Case Inventory'!$N$5:$N$45,'Case Inventory'!$B$5:$B$45,A7)</f>
        <v>94564.9</v>
      </c>
      <c r="I7" t="n" s="4">
        <f>MAX(0,ROUND(G7-F7-H7,2))</f>
        <v>65835.37</v>
      </c>
      <c r="J7" t="n" s="4">
        <f>SUMIFS('Case Inventory'!$O$5:$O$45,'Case Inventory'!$B$5:$B$45,A7)</f>
        <v>0</v>
      </c>
      <c r="K7" t="n" s="4">
        <f>ROUND(E7+J7,2)</f>
        <v>0</v>
      </c>
      <c r="L7" t="n" s="4">
        <f>ROUND(G7+K7,2)</f>
        <v>551620.45</v>
      </c>
      <c r="M7" t="n" s="4">
        <f>SUMIFS('Case Inventory'!$L$5:$L$45,'Case Inventory'!$B$5:$B$45,A7)</f>
        <v>94564.9</v>
      </c>
    </row>
    <row r="8">
      <c r="A8" t="n">
        <v>2025</v>
      </c>
      <c r="B8" t="n">
        <v>12</v>
      </c>
      <c r="C8" t="n" s="3">
        <f>IF(B8=12,Assumptions!$B$6,IF(B8=24,Assumptions!$B$7,IF(B8=36,Assumptions!$B$8,Assumptions!$B$9)))</f>
        <v>1.82</v>
      </c>
      <c r="D8" s="4" t="n">
        <v>148640.55</v>
      </c>
      <c r="E8" t="n" s="4">
        <f>IF(COUNTIFS('Case Inventory'!$A$5:$A$45,Assumptions!$B$10,'Case Inventory'!$B$5:$B$45,A8)&gt;0,Assumptions!$B$11,0)</f>
        <v>0</v>
      </c>
      <c r="F8" t="n" s="4">
        <f>D8-E8</f>
        <v>148640.55</v>
      </c>
      <c r="G8" t="n" s="4">
        <f>ROUND(F8*C8,2)</f>
        <v>270525.8</v>
      </c>
      <c r="H8" t="n" s="4">
        <f>SUMIFS('Case Inventory'!$N$5:$N$45,'Case Inventory'!$B$5:$B$45,A8)</f>
        <v>147156.4</v>
      </c>
      <c r="I8" t="n" s="4">
        <f>MAX(0,ROUND(G8-F8-H8,2))</f>
        <v>0</v>
      </c>
      <c r="J8" t="n" s="4">
        <f>SUMIFS('Case Inventory'!$O$5:$O$45,'Case Inventory'!$B$5:$B$45,A8)</f>
        <v>0</v>
      </c>
      <c r="K8" t="n" s="4">
        <f>ROUND(E8+J8,2)</f>
        <v>0</v>
      </c>
      <c r="L8" t="n" s="4">
        <f>ROUND(G8+K8,2)</f>
        <v>270525.8</v>
      </c>
      <c r="M8" t="n" s="4">
        <f>SUMIFS('Case Inventory'!$L$5:$L$45,'Case Inventory'!$B$5:$B$45,A8)</f>
        <v>147156.4</v>
      </c>
    </row>
    <row r="9">
      <c r="A9" s="2" t="inlineStr">
        <is>
          <t>TOTAL</t>
        </is>
      </c>
      <c r="D9" t="n" s="4">
        <f>SUM(D5:D8)</f>
        <v>1581111.5</v>
      </c>
      <c r="E9" t="n" s="4">
        <f>SUM(E5:E8)</f>
        <v>185220.4</v>
      </c>
      <c r="F9" t="n" s="4">
        <f>SUM(F5:F8)</f>
        <v>1395891.1</v>
      </c>
      <c r="G9" t="n" s="4">
        <f>SUM(G5:G8)</f>
        <v>1782721.22</v>
      </c>
      <c r="H9" t="n" s="4">
        <f>SUM(H5:H8)</f>
        <v>317208.6</v>
      </c>
      <c r="I9" t="n" s="4">
        <f>SUM(I5:I8)</f>
        <v>94892.67</v>
      </c>
      <c r="J9" t="n" s="4">
        <f>SUM(J5:J8)</f>
        <v>142880.4</v>
      </c>
      <c r="K9" t="n" s="4">
        <f>SUM(K5:K8)</f>
        <v>328100.8</v>
      </c>
      <c r="L9" t="n" s="4">
        <f>SUM(L5:L8)</f>
        <v>2110822.02</v>
      </c>
      <c r="M9" t="n" s="4">
        <f>SUM(M5:M8)</f>
        <v>460089</v>
      </c>
    </row>
    <row r="11">
      <c r="A11" s="2" t="inlineStr">
        <is>
          <t>Note</t>
        </is>
      </c>
    </row>
    <row r="12">
      <c r="A12" t="inlineStr">
        <is>
          <t>Large Loss Adjustment — CLM-AUTO-2023-4412: carve paid pre-LDF; LL ult = paid+case.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Crowhaven Logistics — Reserve Opinion</t>
        </is>
      </c>
    </row>
    <row r="2">
      <c r="A2" t="inlineStr">
        <is>
          <t>PKG-CA-GL-IN-2025-4418 | YE 2025-12-31 | Renewal 2026-03-01</t>
        </is>
      </c>
    </row>
    <row r="4">
      <c r="A4" s="2" t="inlineStr">
        <is>
          <t>Item</t>
        </is>
      </c>
      <c r="B4" s="2" t="inlineStr">
        <is>
          <t>Amount</t>
        </is>
      </c>
    </row>
    <row r="5">
      <c r="A5" t="inlineStr">
        <is>
          <t>Cleaned Case</t>
        </is>
      </c>
      <c r="B5" t="n" s="4">
        <f>'AY Development'!M9</f>
        <v>460089</v>
      </c>
    </row>
    <row r="6">
      <c r="A6" t="inlineStr">
        <is>
          <t>Pure IBNR</t>
        </is>
      </c>
      <c r="B6" t="n" s="4">
        <f>'AY Development'!I9</f>
        <v>94892.67</v>
      </c>
    </row>
    <row r="7">
      <c r="A7" t="inlineStr">
        <is>
          <t>Total Reserve</t>
        </is>
      </c>
      <c r="B7" t="n" s="4">
        <f>ROUND(B5+B6,2)</f>
        <v>554981.67</v>
      </c>
    </row>
    <row r="8">
      <c r="A8" t="inlineStr">
        <is>
          <t>Indicated Ultimate</t>
        </is>
      </c>
      <c r="B8" t="n" s="4">
        <f>'AY Development'!L9</f>
        <v>2110822.02</v>
      </c>
    </row>
    <row r="9">
      <c r="A9" t="inlineStr">
        <is>
          <t>Earned Premium</t>
        </is>
      </c>
      <c r="B9" t="n" s="4">
        <f>Assumptions!B14</f>
        <v>2850220.4</v>
      </c>
    </row>
    <row r="10">
      <c r="A10" t="inlineStr">
        <is>
          <t>Ultimate LR</t>
        </is>
      </c>
      <c r="B10" t="n" s="5">
        <f>B8/B9</f>
        <v>0.740582</v>
      </c>
    </row>
    <row r="11">
      <c r="A11" t="inlineStr">
        <is>
          <t>Refer Threshold</t>
        </is>
      </c>
      <c r="B11" t="n" s="5">
        <f>Assumptions!B15</f>
        <v>0.685</v>
      </c>
    </row>
    <row r="12">
      <c r="A12" t="inlineStr">
        <is>
          <t>Decline Threshold</t>
        </is>
      </c>
      <c r="B12" t="n" s="5">
        <f>Assumptions!B16</f>
        <v>0.85</v>
      </c>
    </row>
    <row r="13">
      <c r="A13" t="inlineStr">
        <is>
          <t>Prior Booked Reserve</t>
        </is>
      </c>
      <c r="B13" t="n" s="4">
        <f>Assumptions!B17</f>
        <v>1104220.18</v>
      </c>
    </row>
    <row r="15">
      <c r="A15" s="2" t="inlineStr">
        <is>
          <t>Large Loss Adjustment</t>
        </is>
      </c>
    </row>
    <row r="16">
      <c r="A16" t="inlineStr">
        <is>
          <t>LL Paid Carve</t>
        </is>
      </c>
      <c r="B16" t="n" s="4">
        <f>'AY Development'!E9</f>
        <v>185220.4</v>
      </c>
    </row>
    <row r="17">
      <c r="A17" t="inlineStr">
        <is>
          <t>LL Case</t>
        </is>
      </c>
      <c r="B17" t="n" s="4">
        <f>'AY Development'!J9</f>
        <v>142880.4</v>
      </c>
    </row>
    <row r="18">
      <c r="A18" t="inlineStr">
        <is>
          <t>LL Ultimate</t>
        </is>
      </c>
      <c r="B18" t="n" s="4">
        <f>'AY Development'!K9</f>
        <v>328100.8</v>
      </c>
    </row>
    <row r="20">
      <c r="A20" s="2" t="inlineStr">
        <is>
          <t>Tie-out</t>
        </is>
      </c>
    </row>
    <row r="21">
      <c r="A21" t="inlineStr">
        <is>
          <t>Cleaned Case (Inventory)</t>
        </is>
      </c>
      <c r="B21" t="n" s="4">
        <f>'Case Inventory'!L46</f>
        <v>460089</v>
      </c>
    </row>
    <row r="22">
      <c r="A22" t="inlineStr">
        <is>
          <t>Case Diff (AY − Inventory)</t>
        </is>
      </c>
      <c r="B22" t="n" s="4">
        <f>ROUND(B5-B21,2)</f>
        <v>0</v>
      </c>
    </row>
    <row r="24">
      <c r="A24" s="2" t="inlineStr">
        <is>
          <t>Note</t>
        </is>
      </c>
      <c r="B24" t="inlineStr">
        <is>
          <t>Paid LDFs per actuarial memo; draft factors on Definitions tab are superseded.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</cols>
  <sheetData>
    <row r="1">
      <c r="A1" s="1" t="inlineStr">
        <is>
          <t>UW Recommendation — Crowhaven Logistics</t>
        </is>
      </c>
    </row>
    <row r="2">
      <c r="A2" t="inlineStr">
        <is>
          <t>PKG-CA-GL-IN-2025-4418 | YE 2025-12-31 | Renewal 2026-03-01</t>
        </is>
      </c>
    </row>
    <row r="4">
      <c r="A4" s="2" t="inlineStr">
        <is>
          <t>Item</t>
        </is>
      </c>
      <c r="B4" s="2" t="inlineStr">
        <is>
          <t>Value</t>
        </is>
      </c>
    </row>
    <row r="5">
      <c r="A5" t="inlineStr">
        <is>
          <t>Final Recommendation</t>
        </is>
      </c>
      <c r="B5" s="7" t="inlineStr">
        <is>
          <t>Refer</t>
        </is>
      </c>
    </row>
    <row r="6">
      <c r="A6" t="inlineStr">
        <is>
          <t>Ultimate LR</t>
        </is>
      </c>
      <c r="B6" t="n" s="5">
        <f>'Reserve Opinion'!B10</f>
        <v>0.740582</v>
      </c>
    </row>
    <row r="7">
      <c r="A7" t="inlineStr">
        <is>
          <t>Refer Threshold</t>
        </is>
      </c>
      <c r="B7" t="n" s="5">
        <f>Assumptions!B15</f>
        <v>0.685</v>
      </c>
    </row>
    <row r="8">
      <c r="A8" t="inlineStr">
        <is>
          <t>Decline Threshold</t>
        </is>
      </c>
      <c r="B8" t="n" s="5">
        <f>Assumptions!B16</f>
        <v>0.85</v>
      </c>
    </row>
    <row r="9">
      <c r="A9" t="inlineStr">
        <is>
          <t>Decision Tie-out</t>
        </is>
      </c>
      <c r="B9" t="str">
        <f>IF('Reserve Opinion'!B10&gt;Assumptions!B16,"Decline",IF('Reserve Opinion'!B10&gt;Assumptions!B15,"Refer","Quote"))</f>
        <v>Refer</v>
      </c>
    </row>
    <row r="11">
      <c r="A11" s="2" t="inlineStr">
        <is>
          <t>Rationale</t>
        </is>
      </c>
      <c r="B11" t="inlineStr">
        <is>
          <t>74.06% &gt; 68.5% refer threshold and &lt; 85.0% decline threshold.</t>
        </is>
      </c>
    </row>
    <row r="13">
      <c r="A13" s="2" t="inlineStr">
        <is>
          <t>Reserve Summary</t>
        </is>
      </c>
    </row>
    <row r="14">
      <c r="A14" t="inlineStr">
        <is>
          <t>Cleaned Case</t>
        </is>
      </c>
      <c r="B14" t="n" s="4">
        <f>'Reserve Opinion'!B5</f>
        <v>460089</v>
      </c>
    </row>
    <row r="15">
      <c r="A15" t="inlineStr">
        <is>
          <t>Pure IBNR</t>
        </is>
      </c>
      <c r="B15" t="n" s="4">
        <f>'Reserve Opinion'!B6</f>
        <v>94892.67</v>
      </c>
    </row>
    <row r="16">
      <c r="A16" t="inlineStr">
        <is>
          <t>Total Reserve</t>
        </is>
      </c>
      <c r="B16" t="n" s="4">
        <f>'Reserve Opinion'!B7</f>
        <v>554981.67</v>
      </c>
    </row>
    <row r="17">
      <c r="A17" t="inlineStr">
        <is>
          <t>Indicated Ultimate</t>
        </is>
      </c>
      <c r="B17" t="n" s="4">
        <f>'Reserve Opinion'!B8</f>
        <v>2110822.02</v>
      </c>
    </row>
    <row r="18">
      <c r="A18" t="inlineStr">
        <is>
          <t>Earned Premium</t>
        </is>
      </c>
      <c r="B18" t="n" s="4">
        <f>'Reserve Opinion'!B9</f>
        <v>2850220.4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2026-09-07T09:31:13Z</dcterms:created>
  <dcterms:modified xsi:type="dcterms:W3CDTF">2026-09-07T09:31:13Z</dcterms:modified>
</cp:coreProperties>
</file>