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Flux_Workpaper" sheetId="2" state="visible" r:id="rId2"/>
    <sheet name="Proposed_AJEs" sheetId="3" state="visible" r:id="rId3"/>
    <sheet name="Support_Reconcile" sheetId="4" state="visible" r:id="rId4"/>
    <sheet name="Close_Decision" sheetId="5" state="visible" r:id="rId5"/>
    <sheet name="Values_Snapsho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164" fontId="3" fillId="0" borderId="1" pivotButton="0" quotePrefix="0" xfId="0"/>
    <xf numFmtId="4" fontId="0" fillId="0" borderId="1" pivotButton="0" quotePrefix="0" xfId="0"/>
    <xf numFmtId="4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1" t="inlineStr">
        <is>
          <t>Haverford Process Equipment LLC — Month-end GL flux close pack</t>
        </is>
      </c>
    </row>
    <row r="3">
      <c r="A3" s="2" t="inlineStr">
        <is>
          <t>Period</t>
        </is>
      </c>
      <c r="B3" s="3" t="inlineStr">
        <is>
          <t>2026-08</t>
        </is>
      </c>
    </row>
    <row r="4">
      <c r="A4" s="2" t="inlineStr">
        <is>
          <t>Soft-close target</t>
        </is>
      </c>
      <c r="B4" s="3" t="inlineStr">
        <is>
          <t>2026-09-05</t>
        </is>
      </c>
    </row>
    <row r="5">
      <c r="A5" s="2" t="inlineStr">
        <is>
          <t>Governing policy</t>
        </is>
      </c>
      <c r="B5" s="3" t="inlineStr">
        <is>
          <t>flux_threshold_and_aje_memo.txt</t>
        </is>
      </c>
    </row>
    <row r="6">
      <c r="A6" s="2" t="inlineStr">
        <is>
          <t>TB source</t>
        </is>
      </c>
      <c r="B6" s="3" t="inlineStr">
        <is>
          <t>haverford-process-equipment_trial_balance.xlsx</t>
        </is>
      </c>
    </row>
    <row r="7">
      <c r="A7" s="2" t="inlineStr">
        <is>
          <t>Support source</t>
        </is>
      </c>
      <c r="B7" s="3" t="inlineStr">
        <is>
          <t>haverford-process-equipment_support_schedules.csv</t>
        </is>
      </c>
    </row>
    <row r="8">
      <c r="A8" s="2" t="inlineStr">
        <is>
          <t>Close readiness</t>
        </is>
      </c>
      <c r="B8" s="3" t="inlineStr">
        <is>
          <t>Ready with AJEs</t>
        </is>
      </c>
    </row>
    <row r="9">
      <c r="A9" s="2" t="inlineStr">
        <is>
          <t>Hierarchy</t>
        </is>
      </c>
      <c r="B9" s="3" t="inlineStr">
        <is>
          <t>flux_threshold_and_aje_memo.txt governs over Plant_Notes clean-close language</t>
        </is>
      </c>
    </row>
    <row r="11">
      <c r="A11" t="inlineStr">
        <is>
          <t>Prepared for corporate accounting soft close. Proposed AJEs must post before books are labeled Ready. Warranty AJE uses W-04 governing support; the $6,000 detail-roll vs W-04 gap is an open source exception.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44" customWidth="1" min="1" max="1"/>
    <col width="28" customWidth="1" min="2" max="2"/>
    <col width="10" customWidth="1" min="3" max="3"/>
    <col width="12" customWidth="1" min="4" max="4"/>
    <col width="12" customWidth="1" min="5" max="5"/>
    <col width="10" customWidth="1" min="6" max="6"/>
    <col width="29" customWidth="1" min="7" max="7"/>
    <col width="44" customWidth="1" min="8" max="8"/>
    <col width="44" customWidth="1" min="9" max="9"/>
    <col width="29" customWidth="1" min="10" max="10"/>
  </cols>
  <sheetData>
    <row r="1">
      <c r="A1" s="1" t="inlineStr">
        <is>
          <t>Material flux investigation — 2026-08 vs prior</t>
        </is>
      </c>
    </row>
    <row r="3">
      <c r="A3" s="4" t="inlineStr">
        <is>
          <t>Account</t>
        </is>
      </c>
      <c r="B3" s="4" t="inlineStr">
        <is>
          <t>Name</t>
        </is>
      </c>
      <c r="C3" s="4" t="inlineStr">
        <is>
          <t>Type</t>
        </is>
      </c>
      <c r="D3" s="4" t="inlineStr">
        <is>
          <t>July</t>
        </is>
      </c>
      <c r="E3" s="4" t="inlineStr">
        <is>
          <t>August</t>
        </is>
      </c>
      <c r="F3" s="4" t="inlineStr">
        <is>
          <t>Flux</t>
        </is>
      </c>
      <c r="G3" s="4" t="inlineStr">
        <is>
          <t>Flux_Pct_of_July</t>
        </is>
      </c>
      <c r="H3" s="4" t="inlineStr">
        <is>
          <t>Threshold_Hit</t>
        </is>
      </c>
      <c r="I3" s="4" t="inlineStr">
        <is>
          <t>Explanation</t>
        </is>
      </c>
      <c r="J3" s="4" t="inlineStr">
        <is>
          <t>Support_Ref</t>
        </is>
      </c>
    </row>
    <row r="4">
      <c r="A4" s="5" t="inlineStr">
        <is>
          <t>1000</t>
        </is>
      </c>
      <c r="B4" s="5" t="inlineStr">
        <is>
          <t>Cash - Operating</t>
        </is>
      </c>
      <c r="C4" s="5" t="inlineStr">
        <is>
          <t>BS</t>
        </is>
      </c>
      <c r="D4" s="6" t="n">
        <v>428610.22</v>
      </c>
      <c r="E4" s="6" t="n">
        <v>401228.4</v>
      </c>
      <c r="F4" t="n" s="6">
        <f>E4-D4</f>
        <v>-27381.82</v>
      </c>
      <c r="G4" t="n" s="7">
        <f>IF(D4=0,1,ABS(F4)/ABS(D4))</f>
        <v>0.0638851309</v>
      </c>
      <c r="H4" t="str" s="5">
        <f>IF(ABS(F4)&gt;=25000.0,"Yes","No")</f>
        <v>Yes</v>
      </c>
      <c r="I4" s="5" t="inlineStr">
        <is>
          <t>Cash declined on scheduled AP pay-downs (JE-8871) and ordinary operating disbursements.</t>
        </is>
      </c>
      <c r="J4" s="5" t="inlineStr">
        <is>
          <t>JE_Activity_Notes JE-8871</t>
        </is>
      </c>
    </row>
    <row r="5">
      <c r="A5" s="5" t="inlineStr">
        <is>
          <t>1100</t>
        </is>
      </c>
      <c r="B5" s="5" t="inlineStr">
        <is>
          <t>Accounts Receivable</t>
        </is>
      </c>
      <c r="C5" s="5" t="inlineStr">
        <is>
          <t>BS</t>
        </is>
      </c>
      <c r="D5" s="6" t="n">
        <v>1084220.55</v>
      </c>
      <c r="E5" s="6" t="n">
        <v>1162880.4</v>
      </c>
      <c r="F5" t="n" s="6">
        <f>E5-D5</f>
        <v>78659.85</v>
      </c>
      <c r="G5" t="n" s="7">
        <f>IF(D5=0,1,ABS(F5)/ABS(D5))</f>
        <v>0.0725496764</v>
      </c>
      <c r="H5" t="str" s="5">
        <f>IF(ABS(F5)&gt;=25000.0,"Yes","No")</f>
        <v>Yes</v>
      </c>
      <c r="I5" s="5" t="inlineStr">
        <is>
          <t>AR rose on late-month shipments; INV-9918 billing-void status remains with original JE-8841 amounts still in the GL.</t>
        </is>
      </c>
      <c r="J5" s="5" t="inlineStr">
        <is>
          <t>JE-8841 / support S-01</t>
        </is>
      </c>
    </row>
    <row r="6">
      <c r="A6" s="5" t="inlineStr">
        <is>
          <t>1200</t>
        </is>
      </c>
      <c r="B6" s="5" t="inlineStr">
        <is>
          <t>Inventory - Finished &amp; WIP</t>
        </is>
      </c>
      <c r="C6" s="5" t="inlineStr">
        <is>
          <t>BS</t>
        </is>
      </c>
      <c r="D6" s="6" t="n">
        <v>1196880.4</v>
      </c>
      <c r="E6" s="6" t="n">
        <v>1248300.18</v>
      </c>
      <c r="F6" t="n" s="6">
        <f>E6-D6</f>
        <v>51419.78</v>
      </c>
      <c r="G6" t="n" s="7">
        <f>IF(D6=0,1,ABS(F6)/ABS(D6))</f>
        <v>0.0429615023</v>
      </c>
      <c r="H6" t="str" s="5">
        <f>IF(ABS(F6)&gt;=25000.0,"Yes","No")</f>
        <v>Yes</v>
      </c>
      <c r="I6" s="5" t="inlineStr">
        <is>
          <t>Inventory TB vs CNT-AUG physical total (I-04/I-05); memo §4.4 physical-vs-book true-up applies.</t>
        </is>
      </c>
      <c r="J6" s="5" t="inlineStr">
        <is>
          <t>inventory I-04 / I-05</t>
        </is>
      </c>
    </row>
    <row r="7">
      <c r="A7" s="5" t="inlineStr">
        <is>
          <t>1650</t>
        </is>
      </c>
      <c r="B7" s="5" t="inlineStr">
        <is>
          <t>Accumulated Depreciation</t>
        </is>
      </c>
      <c r="C7" s="5" t="inlineStr">
        <is>
          <t>BS</t>
        </is>
      </c>
      <c r="D7" s="6" t="n">
        <v>1628440.18</v>
      </c>
      <c r="E7" s="6" t="n">
        <v>1693320.58</v>
      </c>
      <c r="F7" t="n" s="6">
        <f>E7-D7</f>
        <v>64880.4</v>
      </c>
      <c r="G7" t="n" s="7">
        <f>IF(D7=0,1,ABS(F7)/ABS(D7))</f>
        <v>0.039842053</v>
      </c>
      <c r="H7" t="str" s="5">
        <f>IF(ABS(F7)&gt;=25000.0,"Yes","No")</f>
        <v>Yes</v>
      </c>
      <c r="I7" s="5" t="inlineStr">
        <is>
          <t>Accumulated depreciation increased by the monthly depreciation run JE-8860.</t>
        </is>
      </c>
      <c r="J7" s="5" t="inlineStr">
        <is>
          <t>JE-8860</t>
        </is>
      </c>
    </row>
    <row r="8">
      <c r="A8" s="5" t="inlineStr">
        <is>
          <t>2000</t>
        </is>
      </c>
      <c r="B8" s="5" t="inlineStr">
        <is>
          <t>Accounts Payable</t>
        </is>
      </c>
      <c r="C8" s="5" t="inlineStr">
        <is>
          <t>BS</t>
        </is>
      </c>
      <c r="D8" s="6" t="n">
        <v>612880.4</v>
      </c>
      <c r="E8" s="6" t="n">
        <v>638440.55</v>
      </c>
      <c r="F8" t="n" s="6">
        <f>E8-D8</f>
        <v>25560.15</v>
      </c>
      <c r="G8" t="n" s="7">
        <f>IF(D8=0,1,ABS(F8)/ABS(D8))</f>
        <v>0.0417049558</v>
      </c>
      <c r="H8" t="str" s="5">
        <f>IF(ABS(F8)&gt;=25000.0,"Yes","No")</f>
        <v>Yes</v>
      </c>
      <c r="I8" s="5" t="inlineStr">
        <is>
          <t>AP increased on receipt timing vs pay-downs; aging support is informational only.</t>
        </is>
      </c>
      <c r="J8" s="5" t="inlineStr">
        <is>
          <t>AP-AGE / JE-8871</t>
        </is>
      </c>
    </row>
    <row r="9">
      <c r="A9" s="5" t="inlineStr">
        <is>
          <t>5600</t>
        </is>
      </c>
      <c r="B9" s="5" t="inlineStr">
        <is>
          <t>Maintenance &amp; Repairs</t>
        </is>
      </c>
      <c r="C9" s="5" t="inlineStr">
        <is>
          <t>PL</t>
        </is>
      </c>
      <c r="D9" s="6" t="n">
        <v>48220.55</v>
      </c>
      <c r="E9" s="6" t="n">
        <v>118880.4</v>
      </c>
      <c r="F9" t="n" s="6">
        <f>E9-D9</f>
        <v>70659.85</v>
      </c>
      <c r="G9" t="n" s="7">
        <f>IF(D9=0,1,ABS(F9)/ABS(D9))</f>
        <v>1.4653</v>
      </c>
      <c r="H9" t="str" s="5">
        <f>IF(AND(ABS(F9)&gt;=15000.0,G9&gt;=0.1),"Yes","No")</f>
        <v>Yes</v>
      </c>
      <c r="I9" s="5" t="inlineStr">
        <is>
          <t>Maintenance includes CAP-8821 CNC spindle rebuild (useful life 5 years) posted to expense; memo §4.5 CapEx test applies.</t>
        </is>
      </c>
      <c r="J9" s="5" t="inlineStr">
        <is>
          <t>capex C-01 / C-02 / JE-8810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28" customWidth="1" min="4" max="4"/>
    <col width="26" customWidth="1" min="5" max="5"/>
    <col width="24" customWidth="1" min="6" max="6"/>
    <col width="14" customWidth="1" min="7" max="7"/>
    <col width="44" customWidth="1" min="8" max="8"/>
    <col width="26" customWidth="1" min="9" max="9"/>
  </cols>
  <sheetData>
    <row r="1">
      <c r="A1" s="1" t="inlineStr">
        <is>
          <t>Proposed adjusting journal entries — 2026-08</t>
        </is>
      </c>
    </row>
    <row r="3">
      <c r="A3" s="4" t="inlineStr">
        <is>
          <t>AJE_ID</t>
        </is>
      </c>
      <c r="B3" s="4" t="inlineStr">
        <is>
          <t>Line</t>
        </is>
      </c>
      <c r="C3" s="4" t="inlineStr">
        <is>
          <t>Account</t>
        </is>
      </c>
      <c r="D3" s="4" t="inlineStr">
        <is>
          <t>Account Name</t>
        </is>
      </c>
      <c r="E3" s="4" t="inlineStr">
        <is>
          <t>Debit</t>
        </is>
      </c>
      <c r="F3" s="4" t="inlineStr">
        <is>
          <t>Credit</t>
        </is>
      </c>
      <c r="G3" s="4" t="inlineStr">
        <is>
          <t>Amount_Check</t>
        </is>
      </c>
      <c r="H3" s="4" t="inlineStr">
        <is>
          <t>Rationale</t>
        </is>
      </c>
      <c r="I3" s="4" t="inlineStr">
        <is>
          <t>Support_Ref</t>
        </is>
      </c>
    </row>
    <row r="4">
      <c r="A4" s="5" t="inlineStr">
        <is>
          <t>AJE-01</t>
        </is>
      </c>
      <c r="B4" s="5" t="n">
        <v>1</v>
      </c>
      <c r="C4" s="5" t="inlineStr">
        <is>
          <t>4100</t>
        </is>
      </c>
      <c r="D4" s="5" t="inlineStr">
        <is>
          <t>Product Sales</t>
        </is>
      </c>
      <c r="E4" t="n" s="6">
        <f>Support_Reconcile!B13</f>
        <v>55280.4</v>
      </c>
      <c r="F4" s="6" t="inlineStr">
        <is>
          <t>0</t>
        </is>
      </c>
      <c r="G4" t="n" s="6">
        <f>E4+F4</f>
        <v>55280.4</v>
      </c>
      <c r="H4" s="5" t="inlineStr">
        <is>
          <t>Reverse voided INV-9918 revenue still in GL</t>
        </is>
      </c>
      <c r="I4" s="5" t="inlineStr">
        <is>
          <t>sales S-01 / JE-8841</t>
        </is>
      </c>
    </row>
    <row r="5">
      <c r="A5" s="5" t="inlineStr">
        <is>
          <t>AJE-01</t>
        </is>
      </c>
      <c r="B5" s="5" t="n">
        <v>2</v>
      </c>
      <c r="C5" s="5" t="inlineStr">
        <is>
          <t>1100</t>
        </is>
      </c>
      <c r="D5" s="5" t="inlineStr">
        <is>
          <t>Accounts Receivable</t>
        </is>
      </c>
      <c r="E5" s="6" t="inlineStr">
        <is>
          <t>0</t>
        </is>
      </c>
      <c r="F5" t="n" s="6">
        <f>Support_Reconcile!B13</f>
        <v>55280.4</v>
      </c>
      <c r="G5" t="n" s="6">
        <f>E5+F5</f>
        <v>55280.4</v>
      </c>
      <c r="H5" s="5" t="inlineStr">
        <is>
          <t>Reverse voided INV-9918 AR still in GL</t>
        </is>
      </c>
      <c r="I5" s="5" t="inlineStr">
        <is>
          <t>sales S-01 / JE-8841</t>
        </is>
      </c>
    </row>
    <row r="6">
      <c r="A6" s="5" t="inlineStr">
        <is>
          <t>AJE-02</t>
        </is>
      </c>
      <c r="B6" s="5" t="n">
        <v>1</v>
      </c>
      <c r="C6" s="5" t="inlineStr">
        <is>
          <t>2200</t>
        </is>
      </c>
      <c r="D6" s="5" t="inlineStr">
        <is>
          <t>Accrued Warranty</t>
        </is>
      </c>
      <c r="E6" t="n" s="6">
        <f>Support_Reconcile!B14</f>
        <v>34555.37</v>
      </c>
      <c r="F6" s="6" t="inlineStr">
        <is>
          <t>0</t>
        </is>
      </c>
      <c r="G6" t="n" s="6">
        <f>E6+F6</f>
        <v>34555.37</v>
      </c>
      <c r="H6" s="5" t="inlineStr">
        <is>
          <t>True warranty liability to W-04 governing support (see $6k detail-roll exception)</t>
        </is>
      </c>
      <c r="I6" s="5" t="inlineStr">
        <is>
          <t>warranty W-04</t>
        </is>
      </c>
    </row>
    <row r="7">
      <c r="A7" s="5" t="inlineStr">
        <is>
          <t>AJE-02</t>
        </is>
      </c>
      <c r="B7" s="5" t="n">
        <v>2</v>
      </c>
      <c r="C7" s="5" t="inlineStr">
        <is>
          <t>5200</t>
        </is>
      </c>
      <c r="D7" s="5" t="inlineStr">
        <is>
          <t>Warranty Expense</t>
        </is>
      </c>
      <c r="E7" s="6" t="inlineStr">
        <is>
          <t>0</t>
        </is>
      </c>
      <c r="F7" t="n" s="6">
        <f>Support_Reconcile!B14</f>
        <v>34555.37</v>
      </c>
      <c r="G7" t="n" s="6">
        <f>E7+F7</f>
        <v>34555.37</v>
      </c>
      <c r="H7" s="5" t="inlineStr">
        <is>
          <t>Offset warranty true-up to W-04</t>
        </is>
      </c>
      <c r="I7" s="5" t="inlineStr">
        <is>
          <t>warranty W-04</t>
        </is>
      </c>
    </row>
    <row r="8">
      <c r="A8" s="5" t="inlineStr">
        <is>
          <t>AJE-03</t>
        </is>
      </c>
      <c r="B8" s="5" t="n">
        <v>1</v>
      </c>
      <c r="C8" s="5" t="inlineStr">
        <is>
          <t>5300</t>
        </is>
      </c>
      <c r="D8" s="5" t="inlineStr">
        <is>
          <t>Insurance Expense</t>
        </is>
      </c>
      <c r="E8" t="n" s="6">
        <f>Support_Reconcile!B15</f>
        <v>8417.25</v>
      </c>
      <c r="F8" s="6" t="inlineStr">
        <is>
          <t>0</t>
        </is>
      </c>
      <c r="G8" t="n" s="6">
        <f>E8+F8</f>
        <v>8417.25</v>
      </c>
      <c r="H8" s="5" t="inlineStr">
        <is>
          <t>Book August prepaid insurance amortization (annual/12)</t>
        </is>
      </c>
      <c r="I8" s="5" t="inlineStr">
        <is>
          <t>prepaid P-01 / memo §4.3</t>
        </is>
      </c>
    </row>
    <row r="9">
      <c r="A9" s="5" t="inlineStr">
        <is>
          <t>AJE-03</t>
        </is>
      </c>
      <c r="B9" s="5" t="n">
        <v>2</v>
      </c>
      <c r="C9" s="5" t="inlineStr">
        <is>
          <t>1400</t>
        </is>
      </c>
      <c r="D9" s="5" t="inlineStr">
        <is>
          <t>Prepaid Insurance</t>
        </is>
      </c>
      <c r="E9" s="6" t="inlineStr">
        <is>
          <t>0</t>
        </is>
      </c>
      <c r="F9" t="n" s="6">
        <f>Support_Reconcile!B15</f>
        <v>8417.25</v>
      </c>
      <c r="G9" t="n" s="6">
        <f>E9+F9</f>
        <v>8417.25</v>
      </c>
      <c r="H9" s="5" t="inlineStr">
        <is>
          <t>Amortize prepaid insurance</t>
        </is>
      </c>
      <c r="I9" s="5" t="inlineStr">
        <is>
          <t>prepaid P-01 / memo §4.3</t>
        </is>
      </c>
    </row>
    <row r="10">
      <c r="A10" s="5" t="inlineStr">
        <is>
          <t>AJE-04</t>
        </is>
      </c>
      <c r="B10" s="5" t="n">
        <v>1</v>
      </c>
      <c r="C10" s="5" t="inlineStr">
        <is>
          <t>5100</t>
        </is>
      </c>
      <c r="D10" s="5" t="inlineStr">
        <is>
          <t>Cost of Goods Sold</t>
        </is>
      </c>
      <c r="E10" t="n" s="6">
        <f>Support_Reconcile!B16</f>
        <v>28425.63</v>
      </c>
      <c r="F10" s="6" t="inlineStr">
        <is>
          <t>0</t>
        </is>
      </c>
      <c r="G10" t="n" s="6">
        <f>E10+F10</f>
        <v>28425.63</v>
      </c>
      <c r="H10" s="5" t="inlineStr">
        <is>
          <t>Write inventory book down to physical</t>
        </is>
      </c>
      <c r="I10" s="5" t="inlineStr">
        <is>
          <t>inventory I-04</t>
        </is>
      </c>
    </row>
    <row r="11">
      <c r="A11" s="5" t="inlineStr">
        <is>
          <t>AJE-04</t>
        </is>
      </c>
      <c r="B11" s="5" t="n">
        <v>2</v>
      </c>
      <c r="C11" s="5" t="inlineStr">
        <is>
          <t>1200</t>
        </is>
      </c>
      <c r="D11" s="5" t="inlineStr">
        <is>
          <t>Inventory - Finished &amp; WIP</t>
        </is>
      </c>
      <c r="E11" s="6" t="inlineStr">
        <is>
          <t>0</t>
        </is>
      </c>
      <c r="F11" t="n" s="6">
        <f>Support_Reconcile!B16</f>
        <v>28425.63</v>
      </c>
      <c r="G11" t="n" s="6">
        <f>E11+F11</f>
        <v>28425.63</v>
      </c>
      <c r="H11" s="5" t="inlineStr">
        <is>
          <t>Write inventory book down to physical</t>
        </is>
      </c>
      <c r="I11" s="5" t="inlineStr">
        <is>
          <t>inventory I-04</t>
        </is>
      </c>
    </row>
    <row r="12">
      <c r="A12" s="5" t="inlineStr">
        <is>
          <t>AJE-05</t>
        </is>
      </c>
      <c r="B12" s="5" t="n">
        <v>1</v>
      </c>
      <c r="C12" s="5" t="inlineStr">
        <is>
          <t>5400</t>
        </is>
      </c>
      <c r="D12" s="5" t="inlineStr">
        <is>
          <t>Freight-In / Outbound</t>
        </is>
      </c>
      <c r="E12" t="n" s="6">
        <f>Support_Reconcile!B17</f>
        <v>41288.4</v>
      </c>
      <c r="F12" s="6" t="inlineStr">
        <is>
          <t>0</t>
        </is>
      </c>
      <c r="G12" t="n" s="6">
        <f>E12+F12</f>
        <v>41288.4</v>
      </c>
      <c r="H12" s="5" t="inlineStr">
        <is>
          <t>Accrue open freight support items</t>
        </is>
      </c>
      <c r="I12" s="5" t="inlineStr">
        <is>
          <t>freight F-04</t>
        </is>
      </c>
    </row>
    <row r="13">
      <c r="A13" s="5" t="inlineStr">
        <is>
          <t>AJE-05</t>
        </is>
      </c>
      <c r="B13" s="5" t="n">
        <v>2</v>
      </c>
      <c r="C13" s="5" t="inlineStr">
        <is>
          <t>2210</t>
        </is>
      </c>
      <c r="D13" s="5" t="inlineStr">
        <is>
          <t>Accrued Freight</t>
        </is>
      </c>
      <c r="E13" s="6" t="inlineStr">
        <is>
          <t>0</t>
        </is>
      </c>
      <c r="F13" t="n" s="6">
        <f>Support_Reconcile!B17</f>
        <v>41288.4</v>
      </c>
      <c r="G13" t="n" s="6">
        <f>E13+F13</f>
        <v>41288.4</v>
      </c>
      <c r="H13" s="5" t="inlineStr">
        <is>
          <t>Accrue open freight support items</t>
        </is>
      </c>
      <c r="I13" s="5" t="inlineStr">
        <is>
          <t>freight F-04</t>
        </is>
      </c>
    </row>
    <row r="14">
      <c r="A14" s="5" t="inlineStr">
        <is>
          <t>AJE-06</t>
        </is>
      </c>
      <c r="B14" s="5" t="n">
        <v>1</v>
      </c>
      <c r="C14" s="5" t="inlineStr">
        <is>
          <t>2220</t>
        </is>
      </c>
      <c r="D14" s="5" t="inlineStr">
        <is>
          <t>Accrued PTO</t>
        </is>
      </c>
      <c r="E14" t="n" s="6">
        <f>Support_Reconcile!B18</f>
        <v>23779.63</v>
      </c>
      <c r="F14" s="6" t="inlineStr">
        <is>
          <t>0</t>
        </is>
      </c>
      <c r="G14" t="n" s="6">
        <f>E14+F14</f>
        <v>23779.63</v>
      </c>
      <c r="H14" s="5" t="inlineStr">
        <is>
          <t>True PTO liability to HR support</t>
        </is>
      </c>
      <c r="I14" s="5" t="inlineStr">
        <is>
          <t>pto T-03</t>
        </is>
      </c>
    </row>
    <row r="15">
      <c r="A15" s="5" t="inlineStr">
        <is>
          <t>AJE-06</t>
        </is>
      </c>
      <c r="B15" s="5" t="n">
        <v>2</v>
      </c>
      <c r="C15" s="5" t="inlineStr">
        <is>
          <t>5500</t>
        </is>
      </c>
      <c r="D15" s="5" t="inlineStr">
        <is>
          <t>Payroll Benefits / PTO</t>
        </is>
      </c>
      <c r="E15" s="6" t="inlineStr">
        <is>
          <t>0</t>
        </is>
      </c>
      <c r="F15" t="n" s="6">
        <f>Support_Reconcile!B18</f>
        <v>23779.63</v>
      </c>
      <c r="G15" t="n" s="6">
        <f>E15+F15</f>
        <v>23779.63</v>
      </c>
      <c r="H15" s="5" t="inlineStr">
        <is>
          <t>Offset PTO true-up</t>
        </is>
      </c>
      <c r="I15" s="5" t="inlineStr">
        <is>
          <t>pto T-03</t>
        </is>
      </c>
    </row>
    <row r="16">
      <c r="A16" s="5" t="inlineStr">
        <is>
          <t>AJE-07</t>
        </is>
      </c>
      <c r="B16" s="5" t="n">
        <v>1</v>
      </c>
      <c r="C16" s="5" t="inlineStr">
        <is>
          <t>1600</t>
        </is>
      </c>
      <c r="D16" s="5" t="inlineStr">
        <is>
          <t>PP&amp;E - Machinery</t>
        </is>
      </c>
      <c r="E16" t="n" s="6">
        <f>Support_Reconcile!B19</f>
        <v>62418.55</v>
      </c>
      <c r="F16" s="6" t="inlineStr">
        <is>
          <t>0</t>
        </is>
      </c>
      <c r="G16" t="n" s="6">
        <f>E16+F16</f>
        <v>62418.55</v>
      </c>
      <c r="H16" s="5" t="inlineStr">
        <is>
          <t>Capitalize CapEx-qualifying rebuild CAP-8821</t>
        </is>
      </c>
      <c r="I16" s="5" t="inlineStr">
        <is>
          <t>capex C-01 / JE-8810</t>
        </is>
      </c>
    </row>
    <row r="17">
      <c r="A17" s="5" t="inlineStr">
        <is>
          <t>AJE-07</t>
        </is>
      </c>
      <c r="B17" s="5" t="n">
        <v>2</v>
      </c>
      <c r="C17" s="5" t="inlineStr">
        <is>
          <t>5600</t>
        </is>
      </c>
      <c r="D17" s="5" t="inlineStr">
        <is>
          <t>Maintenance &amp; Repairs</t>
        </is>
      </c>
      <c r="E17" s="6" t="inlineStr">
        <is>
          <t>0</t>
        </is>
      </c>
      <c r="F17" t="n" s="6">
        <f>Support_Reconcile!B19</f>
        <v>62418.55</v>
      </c>
      <c r="G17" t="n" s="6">
        <f>E17+F17</f>
        <v>62418.55</v>
      </c>
      <c r="H17" s="5" t="inlineStr">
        <is>
          <t>Remove CapEx ticket from maintenance expense</t>
        </is>
      </c>
      <c r="I17" s="5" t="inlineStr">
        <is>
          <t>capex C-01 / JE-8810</t>
        </is>
      </c>
    </row>
    <row r="19">
      <c r="A19" s="2" t="inlineStr">
        <is>
          <t>Total debits</t>
        </is>
      </c>
      <c r="E19" t="n" s="9">
        <f>SUM(E4:E17)</f>
        <v>254165.23</v>
      </c>
    </row>
    <row r="20">
      <c r="A20" s="2" t="inlineStr">
        <is>
          <t>Total credits</t>
        </is>
      </c>
      <c r="F20" t="n" s="9">
        <f>SUM(F4:F17)</f>
        <v>254165.23</v>
      </c>
    </row>
    <row r="21">
      <c r="A21" s="2" t="inlineStr">
        <is>
          <t>Out of balance (should be 0)</t>
        </is>
      </c>
      <c r="E21" t="n" s="9">
        <f>E19-F20</f>
        <v>0</v>
      </c>
    </row>
    <row r="22">
      <c r="A22" s="2" t="inlineStr">
        <is>
          <t>Balance check</t>
        </is>
      </c>
      <c r="E22" t="str">
        <f>IF(E21=0,"PASS","FAIL")</f>
        <v>PASS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16" customWidth="1" min="3" max="3"/>
    <col width="17" customWidth="1" min="4" max="4"/>
    <col width="10" customWidth="1" min="5" max="5"/>
    <col width="44" customWidth="1" min="6" max="6"/>
  </cols>
  <sheetData>
    <row r="1">
      <c r="A1" s="1" t="inlineStr">
        <is>
          <t>TB vs support reconciliation</t>
        </is>
      </c>
    </row>
    <row r="3">
      <c r="A3" s="4" t="inlineStr">
        <is>
          <t>Item</t>
        </is>
      </c>
      <c r="B3" s="4" t="inlineStr">
        <is>
          <t>TB_Amount</t>
        </is>
      </c>
      <c r="C3" s="4" t="inlineStr">
        <is>
          <t>Support_Amount</t>
        </is>
      </c>
      <c r="D3" s="4" t="inlineStr">
        <is>
          <t>Difference</t>
        </is>
      </c>
      <c r="E3" s="4" t="inlineStr">
        <is>
          <t>AJE_ID</t>
        </is>
      </c>
      <c r="F3" s="4" t="inlineStr">
        <is>
          <t>Disposition</t>
        </is>
      </c>
    </row>
    <row r="4">
      <c r="A4" s="5" t="inlineStr">
        <is>
          <t>Accrued Warranty 2200</t>
        </is>
      </c>
      <c r="B4" s="6" t="n">
        <v>182440.55</v>
      </c>
      <c r="C4" s="6" t="n">
        <v>147885.18</v>
      </c>
      <c r="D4" t="n" s="6">
        <f>B4-C4</f>
        <v>34555.37</v>
      </c>
      <c r="E4" s="5" t="inlineStr">
        <is>
          <t>AJE-02</t>
        </is>
      </c>
      <c r="F4" s="5" t="inlineStr">
        <is>
          <t>True TB to W-04 governing support</t>
        </is>
      </c>
    </row>
    <row r="5">
      <c r="A5" s="5" t="inlineStr">
        <is>
          <t>Prepaid Insurance amort</t>
        </is>
      </c>
      <c r="B5" s="6" t="n">
        <v>0</v>
      </c>
      <c r="C5" s="6" t="n">
        <v>101007</v>
      </c>
      <c r="D5" t="n" s="6">
        <f>ROUND(C5/12,2)</f>
        <v>8417.25</v>
      </c>
      <c r="E5" s="5" t="inlineStr">
        <is>
          <t>AJE-03</t>
        </is>
      </c>
      <c r="F5" s="5" t="inlineStr">
        <is>
          <t>Monthly = annual/12; book missing Aug amort</t>
        </is>
      </c>
    </row>
    <row r="6">
      <c r="A6" s="5" t="inlineStr">
        <is>
          <t>Inventory 1200</t>
        </is>
      </c>
      <c r="B6" s="6" t="n">
        <v>1248300.18</v>
      </c>
      <c r="C6" s="6" t="n">
        <v>1219874.55</v>
      </c>
      <c r="D6" t="n" s="6">
        <f>B6-C6</f>
        <v>28425.63</v>
      </c>
      <c r="E6" s="5" t="inlineStr">
        <is>
          <t>AJE-04</t>
        </is>
      </c>
      <c r="F6" s="5" t="inlineStr">
        <is>
          <t>Write down to I-04 physical total</t>
        </is>
      </c>
    </row>
    <row r="7">
      <c r="A7" s="5" t="inlineStr">
        <is>
          <t>Accrued Freight 2210</t>
        </is>
      </c>
      <c r="B7" s="6" t="n">
        <v>0</v>
      </c>
      <c r="C7" s="6" t="n">
        <v>41288.4</v>
      </c>
      <c r="D7" t="n" s="6">
        <f>B7-C7</f>
        <v>-41288.4</v>
      </c>
      <c r="E7" s="5" t="inlineStr">
        <is>
          <t>AJE-05</t>
        </is>
      </c>
      <c r="F7" s="5" t="inlineStr">
        <is>
          <t>Accrue F-04 open total</t>
        </is>
      </c>
    </row>
    <row r="8">
      <c r="A8" s="5" t="inlineStr">
        <is>
          <t>Accrued PTO 2220</t>
        </is>
      </c>
      <c r="B8" s="6" t="n">
        <v>95220.18</v>
      </c>
      <c r="C8" s="6" t="n">
        <v>71440.55</v>
      </c>
      <c r="D8" t="n" s="6">
        <f>B8-C8</f>
        <v>23779.63</v>
      </c>
      <c r="E8" s="5" t="inlineStr">
        <is>
          <t>AJE-06</t>
        </is>
      </c>
      <c r="F8" s="5" t="inlineStr">
        <is>
          <t>True TB to T-03</t>
        </is>
      </c>
    </row>
    <row r="9">
      <c r="A9" s="5" t="inlineStr">
        <is>
          <t>Voided INV-9918 in AR/Sales</t>
        </is>
      </c>
      <c r="B9" s="6" t="n">
        <v>55280.4</v>
      </c>
      <c r="C9" s="6" t="n">
        <v>0</v>
      </c>
      <c r="D9" t="n" s="6">
        <f>B9-C9</f>
        <v>55280.4</v>
      </c>
      <c r="E9" s="5" t="inlineStr">
        <is>
          <t>AJE-01</t>
        </is>
      </c>
      <c r="F9" s="5" t="inlineStr">
        <is>
          <t>Reverse billing-void amounts still in GL</t>
        </is>
      </c>
    </row>
    <row r="10">
      <c r="A10" s="5" t="inlineStr">
        <is>
          <t>CAP-8821 in Maintenance</t>
        </is>
      </c>
      <c r="B10" s="6" t="n">
        <v>62418.55</v>
      </c>
      <c r="C10" s="6" t="n">
        <v>62418.55</v>
      </c>
      <c r="D10" t="n" s="6">
        <f>B10-C10</f>
        <v>0</v>
      </c>
      <c r="E10" s="5" t="inlineStr">
        <is>
          <t>AJE-07</t>
        </is>
      </c>
      <c r="F10" s="5" t="inlineStr">
        <is>
          <t>Reclass to PP&amp;E 1600 per §4.5</t>
        </is>
      </c>
    </row>
    <row r="12">
      <c r="A12" s="2" t="inlineStr">
        <is>
          <t>AJE amount bridge (live formulas from rows above)</t>
        </is>
      </c>
    </row>
    <row r="13">
      <c r="A13" s="5" t="inlineStr">
        <is>
          <t>AJE-01 Void reverse</t>
        </is>
      </c>
      <c r="B13" t="n" s="8">
        <f>ABS(D9)</f>
        <v>55280.4</v>
      </c>
    </row>
    <row r="14">
      <c r="A14" s="5" t="inlineStr">
        <is>
          <t>AJE-02 Warranty true-up (W-04 basis)</t>
        </is>
      </c>
      <c r="B14" t="n" s="8">
        <f>ABS(D4)</f>
        <v>34555.37</v>
      </c>
    </row>
    <row r="15">
      <c r="A15" s="5" t="inlineStr">
        <is>
          <t>AJE-03 Prepaid amort</t>
        </is>
      </c>
      <c r="B15" t="n" s="8">
        <f>D5</f>
        <v>8417.25</v>
      </c>
    </row>
    <row r="16">
      <c r="A16" s="5" t="inlineStr">
        <is>
          <t>AJE-04 Inventory write-down</t>
        </is>
      </c>
      <c r="B16" t="n" s="8">
        <f>ABS(D6)</f>
        <v>28425.63</v>
      </c>
    </row>
    <row r="17">
      <c r="A17" s="5" t="inlineStr">
        <is>
          <t>AJE-05 Freight accrual</t>
        </is>
      </c>
      <c r="B17" t="n" s="8">
        <f>ABS(D7)</f>
        <v>41288.4</v>
      </c>
    </row>
    <row r="18">
      <c r="A18" s="5" t="inlineStr">
        <is>
          <t>AJE-06 PTO true-up</t>
        </is>
      </c>
      <c r="B18" t="n" s="8">
        <f>ABS(D8)</f>
        <v>23779.63</v>
      </c>
    </row>
    <row r="19">
      <c r="A19" s="5" t="inlineStr">
        <is>
          <t>AJE-07 CapEx reclass</t>
        </is>
      </c>
      <c r="B19" t="n" s="8">
        <f>ABS(C10)</f>
        <v>62418.55</v>
      </c>
    </row>
    <row r="21">
      <c r="A21" s="2" t="inlineStr">
        <is>
          <t>Warranty source exception (open support inconsistency)</t>
        </is>
      </c>
    </row>
    <row r="22">
      <c r="A22" t="inlineStr">
        <is>
          <t>Detail roll W-01+W-02+W-03</t>
        </is>
      </c>
      <c r="B22" s="9" t="n">
        <v>153885.18</v>
      </c>
    </row>
    <row r="23">
      <c r="A23" t="inlineStr">
        <is>
          <t>W-04 governing support total</t>
        </is>
      </c>
      <c r="B23" s="9" t="n">
        <v>147885.18</v>
      </c>
    </row>
    <row r="24">
      <c r="A24" t="inlineStr">
        <is>
          <t>Variance (detail roll − W-04)</t>
        </is>
      </c>
      <c r="B24" t="n" s="9">
        <f>B22-B23</f>
        <v>6000</v>
      </c>
    </row>
    <row r="25">
      <c r="A25" t="inlineStr">
        <is>
          <t>Selected governing figure</t>
        </is>
      </c>
      <c r="B25" t="n" s="9">
        <f>B23</f>
        <v>147885.18</v>
      </c>
      <c r="C25" t="inlineStr">
        <is>
          <t>W-04</t>
        </is>
      </c>
    </row>
    <row r="26">
      <c r="A26" t="inlineStr">
        <is>
          <t>Selection reason</t>
        </is>
      </c>
      <c r="B26" s="10" t="inlineStr">
        <is>
          <t>W-04 status=Support and notes='Governing support total' establish W-04 as the controlling support ending under memo §4.2; AJE-02 trues TB 2200 to W-04.</t>
        </is>
      </c>
    </row>
    <row r="27"/>
    <row r="28"/>
    <row r="29">
      <c r="A29" t="inlineStr">
        <is>
          <t>Open exception treatment</t>
        </is>
      </c>
      <c r="B29" s="10" t="inlineStr">
        <is>
          <t>Detail roll $153,885.18 vs W-04 $147,885.18 leaves an unexplained $6,000.00 source gap. Documented as an open reconciliation exception — not a second AJE and not silently ignored.</t>
        </is>
      </c>
    </row>
    <row r="30"/>
    <row r="31"/>
    <row r="32">
      <c r="A32" t="inlineStr">
        <is>
          <t>Exception amount check (should equal variance)</t>
        </is>
      </c>
      <c r="B32" t="str">
        <f>IF(ABS(B24-6000.0)&lt;0.005,"PASS","FAIL")</f>
        <v>PASS</v>
      </c>
    </row>
  </sheetData>
  <mergeCells count="2">
    <mergeCell ref="B26:F28"/>
    <mergeCell ref="B29:F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1" t="inlineStr">
        <is>
          <t>Close readiness decision</t>
        </is>
      </c>
    </row>
    <row r="3">
      <c r="A3" s="2" t="inlineStr">
        <is>
          <t>Status</t>
        </is>
      </c>
      <c r="B3" s="3" t="inlineStr">
        <is>
          <t>Ready with AJEs</t>
        </is>
      </c>
    </row>
    <row r="5">
      <c r="A5" s="2" t="inlineStr">
        <is>
          <t>Decision notes</t>
        </is>
      </c>
    </row>
    <row r="6">
      <c r="A6" s="10" t="inlineStr">
        <is>
          <t>Plant_Notes assert a clean close with no AJEs. Under flux_threshold_and_aje_memo.txt hierarchy, that note does not clear mandatory AJE categories. Seven AJEs are proposed (void reverse, warranty to W-04, prepaid amort, inventory write-down, freight accrual, PTO true-up, CapEx reclass). The $6,000.00 warranty detail-roll vs W-04 gap is an open source exception documented on Support_Reconcile; it does not block quantification of AJE-02 on the W-04 basis. Soft close may proceed as Ready with AJEs once those entries post. Status is not Ready (AJEs remain) and not Hold close (amounts are fully quantified from TB + governing support).</t>
        </is>
      </c>
    </row>
    <row r="7"/>
    <row r="8"/>
    <row r="9"/>
    <row r="10"/>
    <row r="11"/>
    <row r="12"/>
    <row r="14">
      <c r="A14" s="2" t="inlineStr">
        <is>
          <t>Path matrix check</t>
        </is>
      </c>
    </row>
    <row r="15">
      <c r="A15" t="inlineStr">
        <is>
          <t>Ready?</t>
        </is>
      </c>
      <c r="B15" t="inlineStr">
        <is>
          <t>No — required AJEs outstanding</t>
        </is>
      </c>
    </row>
    <row r="16">
      <c r="A16" t="inlineStr">
        <is>
          <t>Ready with AJEs?</t>
        </is>
      </c>
      <c r="B16" t="inlineStr">
        <is>
          <t>Yes — pack proposes all section 4 AJEs</t>
        </is>
      </c>
    </row>
    <row r="17">
      <c r="A17" t="inlineStr">
        <is>
          <t>Hold close?</t>
        </is>
      </c>
      <c r="B17" t="inlineStr">
        <is>
          <t>No — quantification complete on governing support; $6k warranty source gap disclosed as exception</t>
        </is>
      </c>
    </row>
  </sheetData>
  <mergeCells count="1">
    <mergeCell ref="A6:B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</cols>
  <sheetData>
    <row r="1">
      <c r="A1" s="1" t="inlineStr">
        <is>
          <t>Rounded key amounts — live links to calculation sheets (not re-typed)</t>
        </is>
      </c>
    </row>
    <row r="3">
      <c r="A3" s="2" t="inlineStr">
        <is>
          <t>VOID_JE_AMT</t>
        </is>
      </c>
      <c r="B3" t="n" s="9">
        <f>Support_Reconcile!B13</f>
        <v>55280.4</v>
      </c>
    </row>
    <row r="4">
      <c r="A4" s="2" t="inlineStr">
        <is>
          <t>WARRANTY_AJE</t>
        </is>
      </c>
      <c r="B4" t="n" s="9">
        <f>Support_Reconcile!B14</f>
        <v>34555.37</v>
      </c>
    </row>
    <row r="5">
      <c r="A5" s="2" t="inlineStr">
        <is>
          <t>PREPAID_AUG_AMORT</t>
        </is>
      </c>
      <c r="B5" t="n" s="9">
        <f>Support_Reconcile!B15</f>
        <v>8417.25</v>
      </c>
    </row>
    <row r="6">
      <c r="A6" s="2" t="inlineStr">
        <is>
          <t>INV_WRITE_DOWN</t>
        </is>
      </c>
      <c r="B6" t="n" s="9">
        <f>Support_Reconcile!B16</f>
        <v>28425.63</v>
      </c>
    </row>
    <row r="7">
      <c r="A7" s="2" t="inlineStr">
        <is>
          <t>FREIGHT_OPEN</t>
        </is>
      </c>
      <c r="B7" t="n" s="9">
        <f>Support_Reconcile!B17</f>
        <v>41288.4</v>
      </c>
    </row>
    <row r="8">
      <c r="A8" s="2" t="inlineStr">
        <is>
          <t>PTO_AJE</t>
        </is>
      </c>
      <c r="B8" t="n" s="9">
        <f>Support_Reconcile!B18</f>
        <v>23779.63</v>
      </c>
    </row>
    <row r="9">
      <c r="A9" s="2" t="inlineStr">
        <is>
          <t>CAPEX_REBUILD</t>
        </is>
      </c>
      <c r="B9" t="n" s="9">
        <f>Support_Reconcile!B19</f>
        <v>62418.55</v>
      </c>
    </row>
    <row r="10">
      <c r="A10" s="2" t="inlineStr">
        <is>
          <t>AJE_TOTAL_DEBITS</t>
        </is>
      </c>
      <c r="B10" t="n" s="9">
        <f>Proposed_AJEs!E19</f>
        <v>254165.23</v>
      </c>
    </row>
    <row r="11">
      <c r="A11" s="2" t="inlineStr">
        <is>
          <t>AJE_OUT_OF_BALANCE</t>
        </is>
      </c>
      <c r="B11" t="n" s="9">
        <f>Proposed_AJEs!E21</f>
        <v>0</v>
      </c>
    </row>
    <row r="12">
      <c r="A12" s="2" t="inlineStr">
        <is>
          <t>WARRANTY_DETAIL_ROLL</t>
        </is>
      </c>
      <c r="B12" t="n" s="9">
        <f>Support_Reconcile!B22</f>
        <v>153885.18</v>
      </c>
    </row>
    <row r="13">
      <c r="A13" s="2" t="inlineStr">
        <is>
          <t>WARRANTY_W04</t>
        </is>
      </c>
      <c r="B13" t="n" s="9">
        <f>Support_Reconcile!B23</f>
        <v>147885.18</v>
      </c>
    </row>
    <row r="14">
      <c r="A14" s="2" t="inlineStr">
        <is>
          <t>WARRANTY_SOURCE_VARIANCE</t>
        </is>
      </c>
      <c r="B14" t="n" s="9">
        <f>Support_Reconcile!B24</f>
        <v>6000</v>
      </c>
    </row>
    <row r="15">
      <c r="A15" s="2" t="inlineStr">
        <is>
          <t>CLOSE_STATUS</t>
        </is>
      </c>
      <c r="B15" t="str">
        <f>Close_Decision!B3</f>
        <v>Ready with AJEs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2026-09-08T10:14:49Z</dcterms:created>
  <dcterms:modified xsi:type="dcterms:W3CDTF">2026-09-08T10:14:49Z</dcterms:modified>
</cp:coreProperties>
</file>