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EBITDA_Build" sheetId="2" state="visible" r:id="rId2"/>
    <sheet name="Collateral_LTV" sheetId="3" state="visible" r:id="rId3"/>
    <sheet name="DSCR_Leverage" sheetId="4" state="visible" r:id="rId4"/>
    <sheet name="Exceptions" sheetId="5" state="visible" r:id="rId5"/>
    <sheet name="Credit_Decision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CB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0" borderId="1" pivotButton="0" quotePrefix="0" xfId="0"/>
    <xf numFmtId="4" fontId="4" fillId="3" borderId="1" pivotButton="0" quotePrefix="0" xfId="0"/>
    <xf numFmtId="0" fontId="0" fillId="0" borderId="1" pivotButton="0" quotePrefix="0" xfId="0"/>
    <xf numFmtId="0" fontId="4" fillId="0" borderId="0" pivotButton="0" quotePrefix="0" xfId="0"/>
    <xf numFmtId="4" fontId="0" fillId="5" borderId="0" pivotButton="0" quotePrefix="0" xfId="0"/>
    <xf numFmtId="10" fontId="2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0" borderId="0" applyAlignment="1" pivotButton="0" quotePrefix="0" xfId="0">
      <alignment wrapText="1"/>
    </xf>
    <xf numFmtId="0" fontId="4" fillId="5" borderId="1" pivotButton="0" quotePrefix="0" xfId="0"/>
    <xf numFmtId="4" fontId="0" fillId="4" borderId="1" pivotButton="0" quotePrefix="0" xfId="0"/>
    <xf numFmtId="0" fontId="2" fillId="4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</cols>
  <sheetData>
    <row r="1">
      <c r="A1" s="1" t="inlineStr">
        <is>
          <t>Whitaker Precision Components: credit decision assumptions</t>
        </is>
      </c>
    </row>
    <row r="2">
      <c r="A2" s="2" t="inlineStr">
        <is>
          <t>Application CL-2026-4418 | Financials as-of 2026-06-30 | Committee 2026-09-18 | Governing: credit_policy_and_exception_memo.txt</t>
        </is>
      </c>
    </row>
    <row r="3"/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 / rule</t>
        </is>
      </c>
    </row>
    <row r="5">
      <c r="A5" s="4" t="inlineStr">
        <is>
          <t>Requested commitment</t>
        </is>
      </c>
      <c r="B5" s="5" t="n">
        <v>2847500</v>
      </c>
      <c r="C5" s="4" t="inlineStr">
        <is>
          <t>whitaker-precision-components_borrower_financials.xlsx Application</t>
        </is>
      </c>
    </row>
    <row r="6">
      <c r="A6" s="4" t="inlineStr">
        <is>
          <t>Requested tenor (months)</t>
        </is>
      </c>
      <c r="B6" s="4" t="n">
        <v>84</v>
      </c>
      <c r="C6" s="4" t="inlineStr">
        <is>
          <t>whitaker-precision-components_borrower_financials.xlsx Application</t>
        </is>
      </c>
    </row>
    <row r="7">
      <c r="A7" s="4" t="inlineStr">
        <is>
          <t>Pricing factor per $1,000 / month</t>
        </is>
      </c>
      <c r="B7" s="4" t="n">
        <v>16.42</v>
      </c>
      <c r="C7" s="4" t="inlineStr">
        <is>
          <t>credit_policy_and_exception_memo.txt §4</t>
        </is>
      </c>
    </row>
    <row r="8">
      <c r="A8" s="4" t="inlineStr">
        <is>
          <t>Existing bank annual debt service</t>
        </is>
      </c>
      <c r="B8" s="5" t="n">
        <v>412880.4</v>
      </c>
      <c r="C8" s="4" t="inlineStr">
        <is>
          <t>whitaker-precision-components_borrower_financials.xlsx Debt_Schedule</t>
        </is>
      </c>
    </row>
    <row r="9">
      <c r="A9" s="4" t="inlineStr">
        <is>
          <t>Existing bank UPB</t>
        </is>
      </c>
      <c r="B9" s="5" t="n">
        <v>2184220.55</v>
      </c>
      <c r="C9" s="4" t="inlineStr">
        <is>
          <t>whitaker-precision-components_borrower_financials.xlsx Debt_Schedule</t>
        </is>
      </c>
    </row>
    <row r="10">
      <c r="A10" s="4" t="inlineStr">
        <is>
          <t>Reported EBITDA FY2025</t>
        </is>
      </c>
      <c r="B10" s="5" t="n">
        <v>1248620.18</v>
      </c>
      <c r="C10" s="4" t="inlineStr">
        <is>
          <t>whitaker-precision-components_borrower_financials.xlsx Income</t>
        </is>
      </c>
    </row>
    <row r="11">
      <c r="A11" s="4" t="inlineStr">
        <is>
          <t>One-time parcel gain in reported EBITDA</t>
        </is>
      </c>
      <c r="B11" s="5" t="n">
        <v>185400</v>
      </c>
      <c r="C11" s="4" t="inlineStr">
        <is>
          <t>whitaker-precision-components_borrower_financials.xlsx Income</t>
        </is>
      </c>
    </row>
    <row r="12">
      <c r="A12" s="4" t="inlineStr">
        <is>
          <t>Owner add-back claimed (RM)</t>
        </is>
      </c>
      <c r="B12" s="5" t="n">
        <v>210000</v>
      </c>
      <c r="C12" s="4" t="inlineStr">
        <is>
          <t>whitaker-precision-components_borrower_financials.xlsx RM_Notes</t>
        </is>
      </c>
    </row>
    <row r="13">
      <c r="A13" s="4" t="inlineStr">
        <is>
          <t>Owner add-back allowed (policy)</t>
        </is>
      </c>
      <c r="B13" s="5" t="n">
        <v>84220.55</v>
      </c>
      <c r="C13" s="4" t="inlineStr">
        <is>
          <t>credit_policy_and_exception_memo.txt §3(b)</t>
        </is>
      </c>
    </row>
    <row r="14">
      <c r="A14" s="4" t="inlineStr">
        <is>
          <t>Related-party rent add-back claimed</t>
        </is>
      </c>
      <c r="B14" s="5" t="n">
        <v>96000</v>
      </c>
      <c r="C14" s="4" t="inlineStr">
        <is>
          <t>credit_policy_and_exception_memo.txt §3(c) — disallow</t>
        </is>
      </c>
    </row>
    <row r="15">
      <c r="A15" s="4" t="inlineStr">
        <is>
          <t>Minimum DSCR (Approve)</t>
        </is>
      </c>
      <c r="B15" s="6" t="n">
        <v>1.25</v>
      </c>
      <c r="C15" s="4" t="inlineStr">
        <is>
          <t>credit_policy_and_exception_memo.txt §5</t>
        </is>
      </c>
    </row>
    <row r="16">
      <c r="A16" s="4" t="inlineStr">
        <is>
          <t>Conditional DSCR floor</t>
        </is>
      </c>
      <c r="B16" s="6" t="n">
        <v>1.15</v>
      </c>
      <c r="C16" s="4" t="inlineStr">
        <is>
          <t>credit_policy_and_exception_memo.txt §5</t>
        </is>
      </c>
    </row>
    <row r="17">
      <c r="A17" s="4" t="inlineStr">
        <is>
          <t>Maximum LTV</t>
        </is>
      </c>
      <c r="B17" s="6" t="n">
        <v>0.75</v>
      </c>
      <c r="C17" s="4" t="inlineStr">
        <is>
          <t>credit_policy_and_exception_memo.txt §7</t>
        </is>
      </c>
    </row>
    <row r="18">
      <c r="A18" s="4" t="inlineStr">
        <is>
          <t>Maximum leverage</t>
        </is>
      </c>
      <c r="B18" s="6" t="n">
        <v>3.5</v>
      </c>
      <c r="C18" s="4" t="inlineStr">
        <is>
          <t>credit_policy_and_exception_memo.txt §5</t>
        </is>
      </c>
    </row>
    <row r="19">
      <c r="A19" s="4" t="inlineStr">
        <is>
          <t>CNC advance rate</t>
        </is>
      </c>
      <c r="B19" s="6" t="n">
        <v>0.8</v>
      </c>
      <c r="C19" s="4" t="inlineStr">
        <is>
          <t>credit_policy_and_exception_memo.txt §6</t>
        </is>
      </c>
    </row>
    <row r="20">
      <c r="A20" s="4" t="inlineStr">
        <is>
          <t>Fixture advance rate</t>
        </is>
      </c>
      <c r="B20" s="6" t="n">
        <v>0.5</v>
      </c>
      <c r="C20" s="4" t="inlineStr">
        <is>
          <t>credit_policy_and_exception_memo.txt §6</t>
        </is>
      </c>
    </row>
    <row r="21">
      <c r="A21" s="4" t="inlineStr">
        <is>
          <t>Hierarchy</t>
        </is>
      </c>
      <c r="B21" s="4" t="inlineStr">
        <is>
          <t>Memo supersedes RM notes</t>
        </is>
      </c>
      <c r="C21" s="4" t="inlineStr">
        <is>
          <t>credit_policy_and_exception_memo.txt §1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36" customWidth="1" min="3" max="3"/>
    <col width="42" customWidth="1" min="4" max="4"/>
  </cols>
  <sheetData>
    <row r="1">
      <c r="A1" s="1" t="inlineStr">
        <is>
          <t>Adjusted EBITDA build (policy basis)</t>
        </is>
      </c>
    </row>
    <row r="2">
      <c r="A2" t="inlineStr">
        <is>
          <t>Sources: whitaker-precision-components_borrower_financials.xlsx Income; rules in credit_policy_and_exception_memo.txt §3</t>
        </is>
      </c>
    </row>
    <row r="3"/>
    <row r="4">
      <c r="A4" s="3" t="inlineStr">
        <is>
          <t>Step</t>
        </is>
      </c>
      <c r="B4" s="3" t="inlineStr">
        <is>
          <t>Amount</t>
        </is>
      </c>
      <c r="C4" s="3" t="inlineStr">
        <is>
          <t>Include</t>
        </is>
      </c>
      <c r="D4" s="3" t="inlineStr">
        <is>
          <t>Rationale</t>
        </is>
      </c>
    </row>
    <row r="5">
      <c r="A5" s="4" t="inlineStr">
        <is>
          <t>Reported EBITDA FY2025</t>
        </is>
      </c>
      <c r="B5" s="5" t="n">
        <v>1248620.18</v>
      </c>
      <c r="C5" s="7" t="inlineStr">
        <is>
          <t>Yes</t>
        </is>
      </c>
      <c r="D5" s="4" t="inlineStr">
        <is>
          <t>Starting point per memo §3</t>
        </is>
      </c>
    </row>
    <row r="6">
      <c r="A6" s="4" t="inlineStr">
        <is>
          <t>Less: one-time parcel sale gain</t>
        </is>
      </c>
      <c r="B6" s="5" t="n">
        <v>-185400</v>
      </c>
      <c r="C6" s="7" t="inlineStr">
        <is>
          <t>Yes</t>
        </is>
      </c>
      <c r="D6" s="4" t="inlineStr">
        <is>
          <t>Non-operating gain embedded in reported EBITDA</t>
        </is>
      </c>
    </row>
    <row r="7">
      <c r="A7" s="4" t="inlineStr">
        <is>
          <t>Plus: owner add-back allowed</t>
        </is>
      </c>
      <c r="B7" s="5" t="n">
        <v>84220.55</v>
      </c>
      <c r="C7" s="7" t="inlineStr">
        <is>
          <t>Yes</t>
        </is>
      </c>
      <c r="D7" s="4" t="inlineStr">
        <is>
          <t>Capped at 84,220.55; not RM claim 210,000.00</t>
        </is>
      </c>
    </row>
    <row r="8">
      <c r="A8" s="4" t="inlineStr">
        <is>
          <t>Related-party rent add-back (claimed)</t>
        </is>
      </c>
      <c r="B8" s="5" t="n">
        <v>96000</v>
      </c>
      <c r="C8" s="8" t="inlineStr">
        <is>
          <t>No</t>
        </is>
      </c>
      <c r="D8" s="4" t="inlineStr">
        <is>
          <t>Disallowed — continuing cash rent; no CA exception</t>
        </is>
      </c>
    </row>
    <row r="9">
      <c r="A9" s="4" t="inlineStr">
        <is>
          <t>Management EBITDA (RM — not used)</t>
        </is>
      </c>
      <c r="B9" s="5" t="n">
        <v>1554620.18</v>
      </c>
      <c r="C9" s="8" t="inlineStr">
        <is>
          <t>No</t>
        </is>
      </c>
      <c r="D9" s="4" t="inlineStr">
        <is>
          <t>Keeps gain; adds full owner + rent — superseded</t>
        </is>
      </c>
    </row>
    <row r="10"/>
    <row r="11">
      <c r="A11" s="9" t="inlineStr">
        <is>
          <t>Adjusted EBITDA</t>
        </is>
      </c>
      <c r="B11" t="n" s="10">
        <f>B5+B6+B7</f>
        <v>1147440.73</v>
      </c>
      <c r="C11" s="11" t="inlineStr">
        <is>
          <t>Policy measure for DSCR / leverage</t>
        </is>
      </c>
      <c r="D11" s="11" t="n"/>
    </row>
    <row r="12"/>
    <row r="13">
      <c r="A13" s="12" t="inlineStr">
        <is>
          <t>Counterfactual: if RM management EBITDA were used (prohibited)</t>
        </is>
      </c>
      <c r="B13" s="13" t="n">
        <v>1554620.18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4" customWidth="1" min="3" max="3"/>
    <col width="11" customWidth="1" min="4" max="4"/>
    <col width="10" customWidth="1" min="5" max="5"/>
    <col width="11" customWidth="1" min="6" max="6"/>
    <col width="11" customWidth="1" min="7" max="7"/>
    <col width="34" customWidth="1" min="8" max="8"/>
  </cols>
  <sheetData>
    <row r="1">
      <c r="A1" s="1" t="inlineStr">
        <is>
          <t>Collateral eligibility, advances, and LTV</t>
        </is>
      </c>
    </row>
    <row r="2">
      <c r="A2" t="inlineStr">
        <is>
          <t>Sources: whitaker-precision-components_collateral_schedule.csv; eligibility/advances per credit_policy_and_exception_memo.txt §6–7</t>
        </is>
      </c>
    </row>
    <row r="3"/>
    <row r="4">
      <c r="A4" s="3" t="inlineStr">
        <is>
          <t>Asset ID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NOLV</t>
        </is>
      </c>
      <c r="E4" s="3" t="inlineStr">
        <is>
          <t>Eligible</t>
        </is>
      </c>
      <c r="F4" s="3" t="inlineStr">
        <is>
          <t>Advance %</t>
        </is>
      </c>
      <c r="G4" s="3" t="inlineStr">
        <is>
          <t>Bankable</t>
        </is>
      </c>
      <c r="H4" s="3" t="inlineStr">
        <is>
          <t>Disposition</t>
        </is>
      </c>
    </row>
    <row r="5">
      <c r="A5" s="4" t="inlineStr">
        <is>
          <t>CNC-4418-01</t>
        </is>
      </c>
      <c r="B5" s="4" t="inlineStr">
        <is>
          <t>Haas VF-4SS</t>
        </is>
      </c>
      <c r="C5" s="4" t="inlineStr">
        <is>
          <t>CNC_new</t>
        </is>
      </c>
      <c r="D5" s="5" t="n">
        <v>485220.18</v>
      </c>
      <c r="E5" s="7" t="inlineStr">
        <is>
          <t>Yes</t>
        </is>
      </c>
      <c r="F5" s="14" t="n">
        <v>0.8</v>
      </c>
      <c r="G5" s="5" t="n">
        <v>388176.14</v>
      </c>
      <c r="H5" s="4" t="inlineStr">
        <is>
          <t>Eligible — 80% NOLV</t>
        </is>
      </c>
    </row>
    <row r="6">
      <c r="A6" s="4" t="inlineStr">
        <is>
          <t>CNC-4418-02</t>
        </is>
      </c>
      <c r="B6" s="4" t="inlineStr">
        <is>
          <t>DMG MORI NLX2500</t>
        </is>
      </c>
      <c r="C6" s="4" t="inlineStr">
        <is>
          <t>CNC_new</t>
        </is>
      </c>
      <c r="D6" s="5" t="n">
        <v>612880.4</v>
      </c>
      <c r="E6" s="7" t="inlineStr">
        <is>
          <t>Yes</t>
        </is>
      </c>
      <c r="F6" s="14" t="n">
        <v>0.8</v>
      </c>
      <c r="G6" s="5" t="n">
        <v>490304.32</v>
      </c>
      <c r="H6" s="4" t="inlineStr">
        <is>
          <t>Eligible — 80% NOLV</t>
        </is>
      </c>
    </row>
    <row r="7">
      <c r="A7" s="4" t="inlineStr">
        <is>
          <t>CNC-4418-03</t>
        </is>
      </c>
      <c r="B7" s="4" t="inlineStr">
        <is>
          <t>Mazak Integrex i-200S</t>
        </is>
      </c>
      <c r="C7" s="4" t="inlineStr">
        <is>
          <t>CNC_new</t>
        </is>
      </c>
      <c r="D7" s="5" t="n">
        <v>728440.55</v>
      </c>
      <c r="E7" s="7" t="inlineStr">
        <is>
          <t>Yes</t>
        </is>
      </c>
      <c r="F7" s="14" t="n">
        <v>0.8</v>
      </c>
      <c r="G7" s="5" t="n">
        <v>582752.44</v>
      </c>
      <c r="H7" s="4" t="inlineStr">
        <is>
          <t>Eligible — 80% NOLV</t>
        </is>
      </c>
    </row>
    <row r="8">
      <c r="A8" s="4" t="inlineStr">
        <is>
          <t>FIX-4418-10</t>
        </is>
      </c>
      <c r="B8" s="4" t="inlineStr">
        <is>
          <t>Fixtures / tombstones</t>
        </is>
      </c>
      <c r="C8" s="4" t="inlineStr">
        <is>
          <t>Fixtures</t>
        </is>
      </c>
      <c r="D8" s="5" t="n">
        <v>214880.4</v>
      </c>
      <c r="E8" s="7" t="inlineStr">
        <is>
          <t>Yes</t>
        </is>
      </c>
      <c r="F8" s="14" t="n">
        <v>0.5</v>
      </c>
      <c r="G8" s="5" t="n">
        <v>107440.2</v>
      </c>
      <c r="H8" s="4" t="inlineStr">
        <is>
          <t>Eligible — 50% NOLV (not RM 70%)</t>
        </is>
      </c>
    </row>
    <row r="9">
      <c r="A9" s="4" t="inlineStr">
        <is>
          <t>BLD-ROCK-01</t>
        </is>
      </c>
      <c r="B9" s="4" t="inlineStr">
        <is>
          <t>Plant building (related)</t>
        </is>
      </c>
      <c r="C9" s="4" t="inlineStr">
        <is>
          <t>RealEstate_related</t>
        </is>
      </c>
      <c r="D9" s="5" t="n">
        <v>1850000</v>
      </c>
      <c r="E9" s="8" t="inlineStr">
        <is>
          <t>No</t>
        </is>
      </c>
      <c r="F9" s="14" t="n">
        <v>0</v>
      </c>
      <c r="G9" s="5" t="n">
        <v>0</v>
      </c>
      <c r="H9" s="4" t="inlineStr">
        <is>
          <t>Ineligible — related-party title</t>
        </is>
      </c>
    </row>
    <row r="10">
      <c r="A10" s="4" t="inlineStr">
        <is>
          <t>MILL-1998-04</t>
        </is>
      </c>
      <c r="B10" s="4" t="inlineStr">
        <is>
          <t>Bridgeport Series I</t>
        </is>
      </c>
      <c r="C10" s="4" t="inlineStr">
        <is>
          <t>Obsolete_manual</t>
        </is>
      </c>
      <c r="D10" s="5" t="n">
        <v>12400.55</v>
      </c>
      <c r="E10" s="8" t="inlineStr">
        <is>
          <t>No</t>
        </is>
      </c>
      <c r="F10" s="14" t="n">
        <v>0</v>
      </c>
      <c r="G10" s="5" t="n">
        <v>0</v>
      </c>
      <c r="H10" s="4" t="inlineStr">
        <is>
          <t>Ineligible — age cutoff</t>
        </is>
      </c>
    </row>
    <row r="11">
      <c r="A11" s="4" t="inlineStr">
        <is>
          <t>SOFT-4418</t>
        </is>
      </c>
      <c r="B11" s="4" t="inlineStr">
        <is>
          <t>Install / freight / deposits</t>
        </is>
      </c>
      <c r="C11" s="4" t="inlineStr">
        <is>
          <t>SoftCost</t>
        </is>
      </c>
      <c r="D11" s="5" t="n">
        <v>95220.18</v>
      </c>
      <c r="E11" s="8" t="inlineStr">
        <is>
          <t>No</t>
        </is>
      </c>
      <c r="F11" s="14" t="n">
        <v>0</v>
      </c>
      <c r="G11" s="5" t="n">
        <v>0</v>
      </c>
      <c r="H11" s="4" t="inlineStr">
        <is>
          <t>Ineligible — soft costs</t>
        </is>
      </c>
    </row>
    <row r="12">
      <c r="A12" s="4" t="inlineStr">
        <is>
          <t>FL-LEASE-02</t>
        </is>
      </c>
      <c r="B12" s="4" t="inlineStr">
        <is>
          <t>Toyota forklift</t>
        </is>
      </c>
      <c r="C12" s="4" t="inlineStr">
        <is>
          <t>Leased_equipment</t>
        </is>
      </c>
      <c r="D12" s="5" t="n">
        <v>28440</v>
      </c>
      <c r="E12" s="8" t="inlineStr">
        <is>
          <t>No</t>
        </is>
      </c>
      <c r="F12" s="14" t="n">
        <v>0</v>
      </c>
      <c r="G12" s="5" t="n">
        <v>0</v>
      </c>
      <c r="H12" s="4" t="inlineStr">
        <is>
          <t>Ineligible — lessor title</t>
        </is>
      </c>
    </row>
    <row r="13">
      <c r="A13" s="4" t="inlineStr">
        <is>
          <t>LEASEHOLD-IMP</t>
        </is>
      </c>
      <c r="B13" s="4" t="inlineStr">
        <is>
          <t>Leasehold improvements</t>
        </is>
      </c>
      <c r="C13" s="4" t="inlineStr">
        <is>
          <t>Leasehold</t>
        </is>
      </c>
      <c r="D13" s="5" t="n">
        <v>22440.55</v>
      </c>
      <c r="E13" s="8" t="inlineStr">
        <is>
          <t>No</t>
        </is>
      </c>
      <c r="F13" s="14" t="n">
        <v>0</v>
      </c>
      <c r="G13" s="5" t="n">
        <v>0</v>
      </c>
      <c r="H13" s="4" t="inlineStr">
        <is>
          <t>Ineligible — related realty</t>
        </is>
      </c>
    </row>
    <row r="14"/>
    <row r="15">
      <c r="A15" s="11" t="inlineStr">
        <is>
          <t>Eligible NOLV</t>
        </is>
      </c>
      <c r="B15" t="n" s="15">
        <f>D5+D6+D7+D8</f>
        <v>2041421.53</v>
      </c>
      <c r="C15" s="11" t="inlineStr">
        <is>
          <t>Must equal 2,041,421.53</t>
        </is>
      </c>
    </row>
    <row r="16">
      <c r="A16" s="11" t="inlineStr">
        <is>
          <t>Bankable collateral</t>
        </is>
      </c>
      <c r="B16" t="n" s="15">
        <f>G5+G6+G7+G8</f>
        <v>1568673.1</v>
      </c>
      <c r="C16" s="11" t="inlineStr">
        <is>
          <t>Must equal 1,568,673.10</t>
        </is>
      </c>
    </row>
    <row r="17">
      <c r="A17" s="11" t="inlineStr">
        <is>
          <t>75% of eligible NOLV</t>
        </is>
      </c>
      <c r="B17" t="n" s="15">
        <f>ROUND(B15*0.75,2)</f>
        <v>1531066.15</v>
      </c>
      <c r="C17" s="11" t="n"/>
    </row>
    <row r="18">
      <c r="A18" s="11" t="inlineStr">
        <is>
          <t>Binding maximum commitment</t>
        </is>
      </c>
      <c r="B18" t="n" s="16">
        <f>MIN(B16,B17)</f>
        <v>1531066.15</v>
      </c>
      <c r="C18" s="11" t="inlineStr">
        <is>
          <t>min(bankable, 75% eligible NOLV)</t>
        </is>
      </c>
    </row>
    <row r="19"/>
    <row r="20">
      <c r="A20" s="11" t="inlineStr">
        <is>
          <t>LTV at full request</t>
        </is>
      </c>
      <c r="B20" t="n" s="17">
        <f>ROUND(2847500.0/B15,4)</f>
        <v>1.3949</v>
      </c>
      <c r="C20" s="18" t="inlineStr">
        <is>
          <t>Fails max 0.75</t>
        </is>
      </c>
    </row>
    <row r="21">
      <c r="A21" s="11" t="inlineStr">
        <is>
          <t>LTV at binding max</t>
        </is>
      </c>
      <c r="B21" t="n" s="17">
        <f>ROUND(B18/B15,4)</f>
        <v>0.75</v>
      </c>
      <c r="C21" s="19" t="inlineStr">
        <is>
          <t>Passes at 0.75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  <col width="14" customWidth="1" min="4" max="4"/>
    <col width="35" customWidth="1" min="5" max="5"/>
  </cols>
  <sheetData>
    <row r="1">
      <c r="A1" s="1" t="inlineStr">
        <is>
          <t>DSCR and leverage tests</t>
        </is>
      </c>
    </row>
    <row r="2">
      <c r="A2" t="inlineStr">
        <is>
          <t>Debt service factor 16.42 per $1,000 / month (credit_policy_and_exception_memo.txt §4–5)</t>
        </is>
      </c>
    </row>
    <row r="3"/>
    <row r="4">
      <c r="A4" s="3" t="inlineStr">
        <is>
          <t>Metric</t>
        </is>
      </c>
      <c r="B4" s="3" t="inlineStr">
        <is>
          <t>Full request</t>
        </is>
      </c>
      <c r="C4" s="3" t="inlineStr">
        <is>
          <t>Sized commitment</t>
        </is>
      </c>
      <c r="D4" s="3" t="inlineStr">
        <is>
          <t>Threshold</t>
        </is>
      </c>
      <c r="E4" s="3" t="inlineStr">
        <is>
          <t>Result</t>
        </is>
      </c>
    </row>
    <row r="5">
      <c r="A5" s="11" t="inlineStr">
        <is>
          <t>Commitment tested</t>
        </is>
      </c>
      <c r="B5" s="15" t="n">
        <v>2847500</v>
      </c>
      <c r="C5" t="n" s="15">
        <f>Collateral_LTV!B18</f>
        <v>1531066.15</v>
      </c>
      <c r="D5" s="11" t="inlineStr">
        <is>
          <t>n/a</t>
        </is>
      </c>
      <c r="E5" s="11" t="inlineStr"/>
    </row>
    <row r="6">
      <c r="A6" s="11" t="inlineStr">
        <is>
          <t>Proposed annual debt service</t>
        </is>
      </c>
      <c r="B6" t="n" s="15">
        <f>ROUND(ROUND(B5/1000*16.42,2)*12,2)</f>
        <v>561071.4</v>
      </c>
      <c r="C6" t="n" s="15">
        <f>ROUND(ROUND(C5/1000*16.42,2)*12,2)</f>
        <v>301681.32</v>
      </c>
      <c r="D6" s="11" t="inlineStr">
        <is>
          <t>Factor 16.42</t>
        </is>
      </c>
      <c r="E6" s="11" t="n"/>
    </row>
    <row r="7">
      <c r="A7" s="11" t="inlineStr">
        <is>
          <t>Existing bank annual DS</t>
        </is>
      </c>
      <c r="B7" s="15" t="n">
        <v>412880.4</v>
      </c>
      <c r="C7" s="15">
        <f>B7</f>
        <v/>
      </c>
      <c r="D7" s="11" t="n"/>
      <c r="E7" s="11" t="n"/>
    </row>
    <row r="8">
      <c r="A8" s="11" t="inlineStr">
        <is>
          <t>Total annual debt service</t>
        </is>
      </c>
      <c r="B8" t="n" s="15">
        <f>ROUND(B6+B7,2)</f>
        <v>973951.8</v>
      </c>
      <c r="C8" t="n" s="15">
        <f>ROUND(C6+C7,2)</f>
        <v>714561.72</v>
      </c>
      <c r="D8" s="11" t="n"/>
      <c r="E8" s="11" t="n"/>
    </row>
    <row r="9">
      <c r="A9" s="11" t="inlineStr">
        <is>
          <t>Adjusted EBITDA</t>
        </is>
      </c>
      <c r="B9" t="n" s="15">
        <f>EBITDA_Build!B11</f>
        <v>1147440.73</v>
      </c>
      <c r="C9" t="n" s="15">
        <f>B9</f>
        <v>1147440.73</v>
      </c>
      <c r="D9" s="11" t="n"/>
      <c r="E9" s="11" t="n"/>
    </row>
    <row r="10">
      <c r="A10" s="11" t="inlineStr">
        <is>
          <t>DSCR</t>
        </is>
      </c>
      <c r="B10" t="n" s="20">
        <f>ROUND(B9/B8,4)</f>
        <v>1.1781</v>
      </c>
      <c r="C10" t="n" s="21">
        <f>ROUND(C9/C8,4)</f>
        <v>1.6058</v>
      </c>
      <c r="D10" s="11" t="n">
        <v>1.25</v>
      </c>
      <c r="E10" s="11" t="inlineStr">
        <is>
          <t>Full ask fails 1.25; sized passes</t>
        </is>
      </c>
    </row>
    <row r="11">
      <c r="A11" s="11" t="inlineStr">
        <is>
          <t>Total debt (UPB + commitment)</t>
        </is>
      </c>
      <c r="B11" t="n" s="15">
        <f>ROUND(2184220.55+B5,2)</f>
        <v>5031720.55</v>
      </c>
      <c r="C11" t="n" s="15">
        <f>ROUND(2184220.55+C5,2)</f>
        <v>3715286.7</v>
      </c>
      <c r="D11" s="11" t="n"/>
      <c r="E11" s="11" t="n"/>
    </row>
    <row r="12">
      <c r="A12" s="11" t="inlineStr">
        <is>
          <t>Leverage (Total debt / Adj EBITDA)</t>
        </is>
      </c>
      <c r="B12" t="n" s="17">
        <f>ROUND(B11/B9,4)</f>
        <v>4.3852</v>
      </c>
      <c r="C12" t="n" s="21">
        <f>ROUND(C11/C9,4)</f>
        <v>3.2379</v>
      </c>
      <c r="D12" s="11" t="n">
        <v>3.5</v>
      </c>
      <c r="E12" s="11" t="inlineStr">
        <is>
          <t>Sized passes 3.50x</t>
        </is>
      </c>
    </row>
    <row r="13"/>
    <row r="14">
      <c r="A14" s="12" t="inlineStr">
        <is>
          <t>Path trigger notes</t>
        </is>
      </c>
    </row>
    <row r="15">
      <c r="A15" s="22" t="inlineStr">
        <is>
          <t>Full-ask DSCR 1.1781 is below 1.25 but at/above 1.15; full-ask LTV 1.3949 exceeds 0.75. After sizing to binding max, DSCR 1.6058 and LTV 0.75 clear Approve thresholds → Conditional path.</t>
        </is>
      </c>
    </row>
    <row r="16"/>
    <row r="17"/>
  </sheetData>
  <mergeCells count="1">
    <mergeCell ref="A15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Exception and conflict log</t>
        </is>
      </c>
    </row>
    <row r="2"/>
    <row r="3">
      <c r="A3" s="3" t="inlineStr">
        <is>
          <t>Item</t>
        </is>
      </c>
      <c r="B3" s="3" t="inlineStr">
        <is>
          <t>Source conflict</t>
        </is>
      </c>
      <c r="C3" s="3" t="inlineStr">
        <is>
          <t>Governing treatment</t>
        </is>
      </c>
      <c r="D3" s="3" t="inlineStr">
        <is>
          <t>Impact</t>
        </is>
      </c>
    </row>
    <row r="4">
      <c r="A4" s="4" t="inlineStr">
        <is>
          <t>RM Approve as requested</t>
        </is>
      </c>
      <c r="B4" s="4" t="inlineStr">
        <is>
          <t>whitaker-precision-components_borrower_financials.xlsx RM_Notes / Application</t>
        </is>
      </c>
      <c r="C4" s="4" t="inlineStr">
        <is>
          <t>credit_policy_and_exception_memo.txt §1 — memo supersedes; path not Approve at full ask</t>
        </is>
      </c>
      <c r="D4" s="4" t="inlineStr">
        <is>
          <t>Blocks full-ask Approve</t>
        </is>
      </c>
    </row>
    <row r="5">
      <c r="A5" s="4" t="inlineStr">
        <is>
          <t>Management EBITDA</t>
        </is>
      </c>
      <c r="B5" s="4" t="inlineStr">
        <is>
          <t>whitaker-precision-components_borrower_financials.xlsx Income / RM_Notes</t>
        </is>
      </c>
      <c r="C5" s="4" t="inlineStr">
        <is>
          <t>credit_policy_and_exception_memo.txt §3 — strip gain; cap owner add-back; disallow rent add-back</t>
        </is>
      </c>
      <c r="D5" s="4" t="inlineStr">
        <is>
          <t>Adj EBITDA 1,147,440.73 vs MGMT 1,554,620.18</t>
        </is>
      </c>
    </row>
    <row r="6">
      <c r="A6" s="4" t="inlineStr">
        <is>
          <t>Related-party building pledged</t>
        </is>
      </c>
      <c r="B6" s="4" t="inlineStr">
        <is>
          <t>whitaker-precision-components_collateral_schedule.csv BLD-ROCK-01</t>
        </is>
      </c>
      <c r="C6" s="4" t="inlineStr">
        <is>
          <t>credit_policy_and_exception_memo.txt §6 — ineligible collateral</t>
        </is>
      </c>
      <c r="D6" s="4" t="inlineStr">
        <is>
          <t>Removed from eligible NOLV / bankable</t>
        </is>
      </c>
    </row>
    <row r="7">
      <c r="A7" s="4" t="inlineStr">
        <is>
          <t>Soft costs 100% advance claim</t>
        </is>
      </c>
      <c r="B7" s="4" t="inlineStr">
        <is>
          <t>whitaker-precision-components_collateral_schedule.csv SOFT-4418</t>
        </is>
      </c>
      <c r="C7" s="4" t="inlineStr">
        <is>
          <t>credit_policy_and_exception_memo.txt §6 — soft costs 0% advance</t>
        </is>
      </c>
      <c r="D7" s="4" t="inlineStr">
        <is>
          <t>Excluded from bankable</t>
        </is>
      </c>
    </row>
    <row r="8">
      <c r="A8" s="4" t="inlineStr">
        <is>
          <t>Fixture RM advance 70%</t>
        </is>
      </c>
      <c r="B8" s="4" t="inlineStr">
        <is>
          <t>whitaker-precision-components_collateral_schedule.csv FIX-4418-10</t>
        </is>
      </c>
      <c r="C8" s="4" t="inlineStr">
        <is>
          <t>credit_policy_and_exception_memo.txt §6 — fixtures 50%</t>
        </is>
      </c>
      <c r="D8" s="4" t="inlineStr">
        <is>
          <t>Bankable uses 50%</t>
        </is>
      </c>
    </row>
    <row r="9">
      <c r="A9" s="4" t="inlineStr">
        <is>
          <t>Leased forklift pledged</t>
        </is>
      </c>
      <c r="B9" s="4" t="inlineStr">
        <is>
          <t>whitaker-precision-components_collateral_schedule.csv FL-LEASE-02</t>
        </is>
      </c>
      <c r="C9" s="4" t="inlineStr">
        <is>
          <t>credit_policy_and_exception_memo.txt §6 — lessor title ineligible</t>
        </is>
      </c>
      <c r="D9" s="4" t="inlineStr">
        <is>
          <t>Excluded</t>
        </is>
      </c>
    </row>
    <row r="10">
      <c r="A10" s="4" t="inlineStr">
        <is>
          <t>No personal guaranty offered</t>
        </is>
      </c>
      <c r="B10" s="4" t="inlineStr">
        <is>
          <t>whitaker-precision-components_borrower_financials.xlsx Application</t>
        </is>
      </c>
      <c r="C10" s="4" t="inlineStr">
        <is>
          <t>credit_policy_and_exception_memo.txt §8 — Conditional requires unlimited PG</t>
        </is>
      </c>
      <c r="D10" s="4" t="inlineStr">
        <is>
          <t>Condition on recommendation</t>
        </is>
      </c>
    </row>
    <row r="11">
      <c r="A11" s="4" t="inlineStr">
        <is>
          <t>84-month tenor requested</t>
        </is>
      </c>
      <c r="B11" s="4" t="inlineStr">
        <is>
          <t>whitaker-precision-components_borrower_financials.xlsx Application</t>
        </is>
      </c>
      <c r="C11" s="4" t="inlineStr">
        <is>
          <t>credit_policy_and_exception_memo.txt §8 — Conditional shortens to 60 months</t>
        </is>
      </c>
      <c r="D11" s="4" t="inlineStr">
        <is>
          <t>Condition on recommendation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1" t="inlineStr">
        <is>
          <t>Whitaker Precision Components — credit path decision</t>
        </is>
      </c>
    </row>
    <row r="2">
      <c r="A2" t="inlineStr">
        <is>
          <t>Committee 2026-09-18 | Application CL-2026-4418</t>
        </is>
      </c>
    </row>
    <row r="3"/>
    <row r="4">
      <c r="A4" s="11" t="inlineStr">
        <is>
          <t>Path</t>
        </is>
      </c>
      <c r="B4" s="23" t="inlineStr">
        <is>
          <t>Approve with conditions</t>
        </is>
      </c>
    </row>
    <row r="5">
      <c r="A5" s="11" t="inlineStr">
        <is>
          <t>Recommended commitment (USD)</t>
        </is>
      </c>
      <c r="B5" t="n" s="16">
        <f>Collateral_LTV!B18</f>
        <v>1531066.15</v>
      </c>
    </row>
    <row r="6">
      <c r="A6" s="11" t="inlineStr">
        <is>
          <t>Requested commitment (not approved)</t>
        </is>
      </c>
      <c r="B6" s="24" t="n">
        <v>2847500</v>
      </c>
    </row>
    <row r="7">
      <c r="A7" s="11" t="inlineStr">
        <is>
          <t>DSCR at recommended commitment</t>
        </is>
      </c>
      <c r="B7" t="n" s="17">
        <f>DSCR_Leverage!C10</f>
        <v>1.6058</v>
      </c>
    </row>
    <row r="8">
      <c r="A8" s="11" t="inlineStr">
        <is>
          <t>LTV at recommended commitment</t>
        </is>
      </c>
      <c r="B8" t="n" s="17">
        <f>Collateral_LTV!B21</f>
        <v>0.75</v>
      </c>
    </row>
    <row r="9">
      <c r="A9" s="11" t="inlineStr">
        <is>
          <t>Leverage at recommended commitment</t>
        </is>
      </c>
      <c r="B9" t="n" s="17">
        <f>DSCR_Leverage!C12</f>
        <v>3.2379</v>
      </c>
    </row>
    <row r="10"/>
    <row r="11">
      <c r="A11" s="12" t="inlineStr">
        <is>
          <t>Conditions (Conditional path)</t>
        </is>
      </c>
    </row>
    <row r="12">
      <c r="A12" s="2" t="inlineStr">
        <is>
          <t>1. Cap commitment at binding maximum (Collateral_LTV binding max; 1,531,066.15).</t>
        </is>
      </c>
    </row>
    <row r="13">
      <c r="A13" s="2" t="inlineStr">
        <is>
          <t>2. Tenor 60 months (not 84).</t>
        </is>
      </c>
    </row>
    <row r="14">
      <c r="A14" s="2" t="inlineStr">
        <is>
          <t>3. Unlimited personal guaranty of the principal owner.</t>
        </is>
      </c>
    </row>
    <row r="15">
      <c r="A15" s="2" t="inlineStr">
        <is>
          <t>4. Quarterly DSCR covenant at 1.25x on Adjusted EBITDA per memo §3.</t>
        </is>
      </c>
    </row>
    <row r="16">
      <c r="A16" s="2" t="inlineStr">
        <is>
          <t>5. Pledge limited to eligible CNC and fixtures; exclude related-party realty, leases, soft costs, obsolete mill.</t>
        </is>
      </c>
    </row>
    <row r="17">
      <c r="A17" s="2" t="inlineStr">
        <is>
          <t>6. Present to committee (Conditional sizing path) even though sized amount is under officer limit.</t>
        </is>
      </c>
    </row>
    <row r="18"/>
    <row r="19">
      <c r="A19" s="12" t="inlineStr">
        <is>
          <t>Explicit do-nots</t>
        </is>
      </c>
    </row>
    <row r="20">
      <c r="A20" s="25" t="inlineStr">
        <is>
          <t>Do not approve the full requested commitment.</t>
        </is>
      </c>
    </row>
    <row r="21">
      <c r="A21" s="25" t="inlineStr">
        <is>
          <t>Do not treat Whitaker Realty LLC building or leasehold improvements as eligible collateral.</t>
        </is>
      </c>
    </row>
    <row r="22">
      <c r="A22" s="25" t="inlineStr">
        <is>
          <t>Do not measure DSCR on management EBITDA that retains the parcel gain or related-party rent add-back.</t>
        </is>
      </c>
    </row>
    <row r="23">
      <c r="A23" s="25" t="inlineStr">
        <is>
          <t>Do not Decline solely because the request exceeds bankable collateral — size to binding max under Conditional.</t>
        </is>
      </c>
    </row>
  </sheetData>
  <mergeCells count="10">
    <mergeCell ref="A20:B20"/>
    <mergeCell ref="A21:B21"/>
    <mergeCell ref="A16:B16"/>
    <mergeCell ref="A15:B15"/>
    <mergeCell ref="A23:B23"/>
    <mergeCell ref="A13:B13"/>
    <mergeCell ref="A14:B14"/>
    <mergeCell ref="A17:B17"/>
    <mergeCell ref="A22:B22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Committee notes and source citations</t>
        </is>
      </c>
    </row>
    <row r="3" ht="36" customHeight="1">
      <c r="A3" s="26" t="inlineStr">
        <is>
          <t>Governing hierarchy: credit_policy_and_exception_memo.txt §1 controls over RM Approve-as-requested language on whitaker-precision-components_borrower_financials.xlsx RM_Notes.</t>
        </is>
      </c>
    </row>
    <row r="4" ht="36" customHeight="1">
      <c r="A4" s="26" t="inlineStr">
        <is>
          <t>Adjusted EBITDA 1,147,440.73 = reported 1,248,620.18 − gain 185,400.00 + allowed owner 84,220.55 (whitaker-precision-components_borrower_financials.xlsx; credit_policy_and_exception_memo.txt §3).</t>
        </is>
      </c>
    </row>
    <row r="5" ht="36" customHeight="1">
      <c r="A5" s="26" t="inlineStr">
        <is>
          <t>Eligible NOLV 2,041,421.53; bankable 1,568,673.10; 75% cap 1,531,066.15; binding commitment 1,531,066.15 (whitaker-precision-components_collateral_schedule.csv; credit_policy_and_exception_memo.txt §6–7).</t>
        </is>
      </c>
    </row>
    <row r="6" ht="36" customHeight="1">
      <c r="A6" s="26" t="inlineStr">
        <is>
          <t>Full-ask DSCR 1.1781 and LTV 1.3949 fail Approve tests; sized DSCR 1.6058, LTV 0.75, leverage 3.2379 pass (credit_policy_and_exception_memo.txt §5, §8).</t>
        </is>
      </c>
    </row>
    <row r="7" ht="36" customHeight="1">
      <c r="A7" s="26" t="inlineStr">
        <is>
          <t>Path selected: Approve with conditions with commitment 1,531,066.15 and 60-month tenor plus PG and DSCR covenant.</t>
        </is>
      </c>
    </row>
    <row r="8" ht="36" customHeight="1">
      <c r="A8" s="26" t="inlineStr">
        <is>
          <t>Citations above appear earlier on this Notes tab than the committee path recommendation that follows.</t>
        </is>
      </c>
    </row>
    <row r="9" ht="36" customHeight="1">
      <c r="A9" s="26" t="inlineStr">
        <is>
          <t>Committee path recommendation: Approve with conditions at $1,531,066.15 with conditions listed on Credit_Decision — not Approve at $2,847,500.00, and not Decline.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2026-09-06T02:56:46Z</dcterms:created>
  <dcterms:modified xsi:type="dcterms:W3CDTF">2026-09-06T02:56:46Z</dcterms:modified>
</cp:coreProperties>
</file>