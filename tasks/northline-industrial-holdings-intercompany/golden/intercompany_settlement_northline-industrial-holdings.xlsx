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_Settlement" sheetId="1" state="visible" r:id="rId1"/>
    <sheet name="AP_FX_TieOut" sheetId="2" state="visible" r:id="rId2"/>
    <sheet name="Exceptions" sheetId="3" state="visible" r:id="rId3"/>
    <sheet name="Section6_Tests" sheetId="4" state="visible" r:id="rId4"/>
    <sheet name="Consistency" sheetId="5" state="visible" r:id="rId5"/>
    <sheet name="Counterparty_Netting" sheetId="6" state="visible" r:id="rId6"/>
    <sheet name="Recommendation" sheetId="7" state="visible" r:id="rId7"/>
    <sheet name="Notes" sheetId="8" state="visible" r:id="rId8"/>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Calibri"/>
      <b val="1"/>
      <sz val="13"/>
    </font>
    <font>
      <name val="Calibri"/>
      <b val="1"/>
      <color rgb="00FFFFFF"/>
      <sz val="11"/>
    </font>
    <font>
      <name val="Calibri"/>
      <b val="1"/>
      <sz val="11"/>
    </font>
  </fonts>
  <fills count="5">
    <fill>
      <patternFill/>
    </fill>
    <fill>
      <patternFill patternType="gray125"/>
    </fill>
    <fill>
      <patternFill patternType="solid">
        <fgColor rgb="0037474F"/>
      </patternFill>
    </fill>
    <fill>
      <patternFill patternType="solid">
        <fgColor rgb="00FFECB3"/>
      </patternFill>
    </fill>
    <fill>
      <patternFill patternType="solid">
        <fgColor rgb="00C8E6C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xf numFmtId="4" fontId="0" fillId="0" borderId="1" pivotButton="0" quotePrefix="0" xfId="0"/>
    <xf numFmtId="0" fontId="0" fillId="3" borderId="1" pivotButton="0" quotePrefix="0" xfId="0"/>
    <xf numFmtId="4" fontId="3" fillId="0" borderId="0" pivotButton="0" quotePrefix="0" xfId="0"/>
    <xf numFmtId="164" fontId="0" fillId="0" borderId="1" pivotButton="0" quotePrefix="0" xfId="0"/>
    <xf numFmtId="4" fontId="0" fillId="0" borderId="0" pivotButton="0" quotePrefix="0" xfId="0"/>
    <xf numFmtId="0" fontId="0" fillId="4" borderId="1" pivotButton="0" quotePrefix="0" xfId="0"/>
    <xf numFmtId="0" fontId="0" fillId="4" borderId="0" pivotButton="0" quotePrefix="0" xfId="0"/>
    <xf numFmtId="0" fontId="3" fillId="4"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4" customWidth="1" min="1" max="1"/>
    <col width="28" customWidth="1" min="2" max="2"/>
    <col width="12" customWidth="1" min="3" max="3"/>
    <col width="8" customWidth="1" min="4" max="4"/>
    <col width="14" customWidth="1" min="5" max="5"/>
    <col width="12" customWidth="1" min="6" max="6"/>
    <col width="10" customWidth="1" min="7" max="7"/>
    <col width="8" customWidth="1" min="8" max="8"/>
    <col width="62" customWidth="1" min="9" max="9"/>
    <col width="42" customWidth="1" min="10" max="10"/>
  </cols>
  <sheetData>
    <row r="1">
      <c r="A1" s="1" t="inlineStr">
        <is>
          <t>Northline Industrial Holdings: Appendix A AR settlement</t>
        </is>
      </c>
    </row>
    <row r="2">
      <c r="A2" t="inlineStr">
        <is>
          <t>As of 2026-08-31 | Wire cycle 2026-09-03 | Governing: intercompany_cutoff_and_fx_memo.txt</t>
        </is>
      </c>
    </row>
    <row r="4">
      <c r="A4" s="2" t="inlineStr">
        <is>
          <t>Invoice ID</t>
        </is>
      </c>
      <c r="B4" s="2" t="inlineStr">
        <is>
          <t>Counterparty</t>
        </is>
      </c>
      <c r="C4" s="2" t="inlineStr">
        <is>
          <t>Invoice date</t>
        </is>
      </c>
      <c r="D4" s="2" t="inlineStr">
        <is>
          <t>Currency</t>
        </is>
      </c>
      <c r="E4" s="2" t="inlineStr">
        <is>
          <t>Local / source USD</t>
        </is>
      </c>
      <c r="F4" s="2" t="inlineStr">
        <is>
          <t>USD amount</t>
        </is>
      </c>
      <c r="G4" s="2" t="inlineStr">
        <is>
          <t>Status</t>
        </is>
      </c>
      <c r="H4" s="2" t="inlineStr">
        <is>
          <t>Include</t>
        </is>
      </c>
      <c r="I4" s="2" t="inlineStr">
        <is>
          <t>Reason</t>
        </is>
      </c>
      <c r="J4" s="2" t="inlineStr">
        <is>
          <t>Source</t>
        </is>
      </c>
    </row>
    <row r="5">
      <c r="A5" s="3" t="inlineStr">
        <is>
          <t>INV-AR-8841</t>
        </is>
      </c>
      <c r="B5" s="3" t="inlineStr">
        <is>
          <t>Northline Canada Ltd</t>
        </is>
      </c>
      <c r="C5" s="3" t="inlineStr">
        <is>
          <t>2026-08-27</t>
        </is>
      </c>
      <c r="D5" s="3" t="inlineStr">
        <is>
          <t>USD</t>
        </is>
      </c>
      <c r="E5" s="4" t="n">
        <v>185420.18</v>
      </c>
      <c r="F5" t="n" s="4">
        <f>E5</f>
        <v>185420.18</v>
      </c>
      <c r="G5" s="3" t="inlineStr">
        <is>
          <t>InTransit</t>
        </is>
      </c>
      <c r="H5" s="3" t="inlineStr">
        <is>
          <t>Yes</t>
        </is>
      </c>
      <c r="I5" s="3" t="inlineStr">
        <is>
          <t>Appendix A (≥$35,000.00 + InTransit); FOB ship_date on/before Aug 31; AP not booked yet</t>
        </is>
      </c>
      <c r="J5" s="3" t="inlineStr">
        <is>
          <t>northline-industrial-holdings_ar_subledger.csv + intercompany_cutoff_and_fx_memo.txt §2–3</t>
        </is>
      </c>
    </row>
    <row r="6">
      <c r="A6" s="3" t="inlineStr">
        <is>
          <t>INV-AR-8790</t>
        </is>
      </c>
      <c r="B6" s="3" t="inlineStr">
        <is>
          <t>Northline Canada Ltd</t>
        </is>
      </c>
      <c r="C6" s="3" t="inlineStr">
        <is>
          <t>2026-08-11</t>
        </is>
      </c>
      <c r="D6" s="3" t="inlineStr">
        <is>
          <t>USD</t>
        </is>
      </c>
      <c r="E6" s="4" t="n">
        <v>92880.4</v>
      </c>
      <c r="F6" t="n" s="4">
        <f>E6</f>
        <v>92880.4</v>
      </c>
      <c r="G6" s="3" t="inlineStr">
        <is>
          <t>Open</t>
        </is>
      </c>
      <c r="H6" s="3" t="inlineStr">
        <is>
          <t>Yes</t>
        </is>
      </c>
      <c r="I6" s="3" t="inlineStr">
        <is>
          <t>Appendix A (≥$35,000.00 + Open); matched AP present</t>
        </is>
      </c>
      <c r="J6" s="3" t="inlineStr">
        <is>
          <t>northline-industrial-holdings_ar_subledger.csv + intercompany_cutoff_and_fx_memo.txt §2</t>
        </is>
      </c>
    </row>
    <row r="7">
      <c r="A7" s="3" t="inlineStr">
        <is>
          <t>INV-AR-8766</t>
        </is>
      </c>
      <c r="B7" s="3" t="inlineStr">
        <is>
          <t>Northline Canada Ltd</t>
        </is>
      </c>
      <c r="C7" s="3" t="inlineStr">
        <is>
          <t>2026-07-15</t>
        </is>
      </c>
      <c r="D7" s="3" t="inlineStr">
        <is>
          <t>USD</t>
        </is>
      </c>
      <c r="E7" s="4" t="n">
        <v>41220.18</v>
      </c>
      <c r="F7" t="n" s="4">
        <f>E7</f>
        <v>41220.18</v>
      </c>
      <c r="G7" s="3" t="inlineStr">
        <is>
          <t>Open</t>
        </is>
      </c>
      <c r="H7" s="3" t="inlineStr">
        <is>
          <t>Yes</t>
        </is>
      </c>
      <c r="I7" s="3" t="inlineStr">
        <is>
          <t>Appendix A (≥$35,000.00 + Open); management fee</t>
        </is>
      </c>
      <c r="J7" s="3" t="inlineStr">
        <is>
          <t>northline-industrial-holdings_ar_subledger.csv + intercompany_cutoff_and_fx_memo.txt §2</t>
        </is>
      </c>
    </row>
    <row r="8">
      <c r="A8" s="3" t="inlineStr">
        <is>
          <t>INV-AR-8812</t>
        </is>
      </c>
      <c r="B8" s="3" t="inlineStr">
        <is>
          <t>Northline Mexico SA de CV</t>
        </is>
      </c>
      <c r="C8" s="3" t="inlineStr">
        <is>
          <t>2026-08-14</t>
        </is>
      </c>
      <c r="D8" s="3" t="inlineStr">
        <is>
          <t>USD</t>
        </is>
      </c>
      <c r="E8" s="4" t="n">
        <v>64220.55</v>
      </c>
      <c r="F8" t="n" s="4">
        <f>E8</f>
        <v>64220.55</v>
      </c>
      <c r="G8" s="3" t="inlineStr">
        <is>
          <t>Open</t>
        </is>
      </c>
      <c r="H8" s="3" t="inlineStr">
        <is>
          <t>Yes</t>
        </is>
      </c>
      <c r="I8" s="3" t="inlineStr">
        <is>
          <t>Appendix A (≥$35,000.00 + Open); matched AP present</t>
        </is>
      </c>
      <c r="J8" s="3" t="inlineStr">
        <is>
          <t>northline-industrial-holdings_ar_subledger.csv + intercompany_cutoff_and_fx_memo.txt §2</t>
        </is>
      </c>
    </row>
    <row r="9">
      <c r="A9" s="3" t="inlineStr">
        <is>
          <t>INV-AR-8855</t>
        </is>
      </c>
      <c r="B9" s="3" t="inlineStr">
        <is>
          <t>Northline Mexico SA de CV</t>
        </is>
      </c>
      <c r="C9" s="3" t="inlineStr">
        <is>
          <t>2026-08-28</t>
        </is>
      </c>
      <c r="D9" s="3" t="inlineStr">
        <is>
          <t>USD</t>
        </is>
      </c>
      <c r="E9" s="4" t="n">
        <v>128440</v>
      </c>
      <c r="F9" t="n" s="4">
        <f>E9</f>
        <v>128440</v>
      </c>
      <c r="G9" s="3" t="inlineStr">
        <is>
          <t>InTransit</t>
        </is>
      </c>
      <c r="H9" s="3" t="inlineStr">
        <is>
          <t>Yes</t>
        </is>
      </c>
      <c r="I9" s="3" t="inlineStr">
        <is>
          <t>Appendix A (≥$35,000.00 + InTransit); FOB ship_date on/before Aug 31; AP not booked yet</t>
        </is>
      </c>
      <c r="J9" s="3" t="inlineStr">
        <is>
          <t>northline-industrial-holdings_ar_subledger.csv + intercompany_cutoff_and_fx_memo.txt §2–3</t>
        </is>
      </c>
    </row>
    <row r="10">
      <c r="A10" s="3" t="inlineStr">
        <is>
          <t>INV-AR-8688</t>
        </is>
      </c>
      <c r="B10" s="3" t="inlineStr">
        <is>
          <t>Northline Mexico SA de CV</t>
        </is>
      </c>
      <c r="C10" s="3" t="inlineStr">
        <is>
          <t>2026-08-04</t>
        </is>
      </c>
      <c r="D10" s="3" t="inlineStr">
        <is>
          <t>USD</t>
        </is>
      </c>
      <c r="E10" s="4" t="n">
        <v>38820.4</v>
      </c>
      <c r="F10" t="n" s="4">
        <f>E10</f>
        <v>38820.4</v>
      </c>
      <c r="G10" s="3" t="inlineStr">
        <is>
          <t>Open</t>
        </is>
      </c>
      <c r="H10" s="3" t="inlineStr">
        <is>
          <t>Yes</t>
        </is>
      </c>
      <c r="I10" s="3" t="inlineStr">
        <is>
          <t>Appendix A (≥$35,000.00 + Open); matched AP present</t>
        </is>
      </c>
      <c r="J10" s="3" t="inlineStr">
        <is>
          <t>northline-industrial-holdings_ar_subledger.csv + intercompany_cutoff_and_fx_memo.txt §2</t>
        </is>
      </c>
    </row>
    <row r="11">
      <c r="A11" s="3" t="inlineStr">
        <is>
          <t>INV-AR-8820</t>
        </is>
      </c>
      <c r="B11" s="3" t="inlineStr">
        <is>
          <t>Northline Canada Ltd</t>
        </is>
      </c>
      <c r="C11" s="3" t="inlineStr">
        <is>
          <t>2026-08-19</t>
        </is>
      </c>
      <c r="D11" s="3" t="inlineStr">
        <is>
          <t>USD</t>
        </is>
      </c>
      <c r="E11" s="4" t="n">
        <v>15500</v>
      </c>
      <c r="F11" t="n" s="4">
        <f>E11</f>
        <v>15500</v>
      </c>
      <c r="G11" s="3" t="inlineStr">
        <is>
          <t>Void</t>
        </is>
      </c>
      <c r="H11" s="5" t="inlineStr">
        <is>
          <t>No</t>
        </is>
      </c>
      <c r="I11" s="3" t="inlineStr">
        <is>
          <t>Void status — exclude from settlement (discovered on AR status_flag)</t>
        </is>
      </c>
      <c r="J11" s="3" t="inlineStr">
        <is>
          <t>northline-industrial-holdings_ar_subledger.csv + intercompany_cutoff_and_fx_memo.txt §6</t>
        </is>
      </c>
    </row>
    <row r="13">
      <c r="A13" t="inlineStr">
        <is>
          <t>Canada Appendix A AR (Include=Yes)</t>
        </is>
      </c>
      <c r="F13" t="n" s="6">
        <f>SUMIFS(F5:F11,B5:B11,"Northline Canada Ltd",H5:H11,"Yes")</f>
        <v>319520.76</v>
      </c>
    </row>
    <row r="14">
      <c r="A14" t="inlineStr">
        <is>
          <t>Mexico Appendix A AR (Include=Yes)</t>
        </is>
      </c>
      <c r="F14" t="n" s="6">
        <f>SUMIFS(F5:F11,B5:B11,"Northline Mexico SA de CV",H5:H11,"Yes")</f>
        <v>231480.95</v>
      </c>
    </row>
    <row r="15">
      <c r="A15" t="inlineStr">
        <is>
          <t>Total Appendix A AR settlement USD</t>
        </is>
      </c>
      <c r="F15" t="n" s="6">
        <f>F13+F14</f>
        <v>551001.71</v>
      </c>
    </row>
    <row r="16">
      <c r="A16" t="inlineStr">
        <is>
          <t>Appendix A rule: Open/InTransit + amount_usd ≥ $35,000.00 (memo §2). Control: Canada 319,520.76 | Mexico 231,480.95</t>
        </is>
      </c>
    </row>
    <row r="17">
      <c r="A17" t="inlineStr">
        <is>
          <t>Discovered InTransit kept per FOB §3: INV-AR-8841, INV-AR-8855 | Void excluded §6: INV-AR-8820 | Source: northline-industrial-holdings_ar_subledger.csv + intercompany_cutoff_and_fx_memo.txt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10" customWidth="1" min="1" max="1"/>
    <col width="14" customWidth="1" min="2" max="2"/>
    <col width="26" customWidth="1" min="3" max="3"/>
    <col width="12" customWidth="1" min="4" max="4"/>
    <col width="6" customWidth="1" min="5" max="5"/>
    <col width="10" customWidth="1" min="6" max="6"/>
    <col width="10" customWidth="1" min="7" max="7"/>
    <col width="12" customWidth="1" min="8" max="8"/>
    <col width="12" customWidth="1" min="9" max="9"/>
    <col width="12" customWidth="1" min="10" max="10"/>
    <col width="12" customWidth="1" min="11" max="11"/>
    <col width="8" customWidth="1" min="12" max="12"/>
    <col width="22" customWidth="1" min="13" max="13"/>
    <col width="48" customWidth="1" min="14" max="14"/>
  </cols>
  <sheetData>
    <row r="1">
      <c r="A1" s="1" t="inlineStr">
        <is>
          <t>Affiliate AP FX tie-out (memo August 31 rates)</t>
        </is>
      </c>
    </row>
    <row r="2">
      <c r="A2" t="inlineStr">
        <is>
          <t>Memo CAD 1.3724 / MXN 18.58 per USD | AP-C-441 booked 1.368 revalued at memo | Governing: intercompany_cutoff_and_fx_memo.txt §4–5</t>
        </is>
      </c>
    </row>
    <row r="4">
      <c r="A4" s="2" t="inlineStr">
        <is>
          <t>AP ID</t>
        </is>
      </c>
      <c r="B4" s="2" t="inlineStr">
        <is>
          <t>Parent invoice</t>
        </is>
      </c>
      <c r="C4" s="2" t="inlineStr">
        <is>
          <t>Counterparty</t>
        </is>
      </c>
      <c r="D4" s="2" t="inlineStr">
        <is>
          <t>Local amount</t>
        </is>
      </c>
      <c r="E4" s="2" t="inlineStr">
        <is>
          <t>CCY</t>
        </is>
      </c>
      <c r="F4" s="2" t="inlineStr">
        <is>
          <t>Booked FX</t>
        </is>
      </c>
      <c r="G4" s="2" t="inlineStr">
        <is>
          <t>Memo FX</t>
        </is>
      </c>
      <c r="H4" s="2" t="inlineStr">
        <is>
          <t>USD @ booked</t>
        </is>
      </c>
      <c r="I4" s="2" t="inlineStr">
        <is>
          <t>USD @ memo</t>
        </is>
      </c>
      <c r="J4" s="2" t="inlineStr">
        <is>
          <t>Parent AR USD</t>
        </is>
      </c>
      <c r="K4" s="2" t="inlineStr">
        <is>
          <t>FX difference</t>
        </is>
      </c>
      <c r="L4" s="2" t="inlineStr">
        <is>
          <t>Include</t>
        </is>
      </c>
      <c r="M4" s="2" t="inlineStr">
        <is>
          <t>Tie-out status</t>
        </is>
      </c>
      <c r="N4" s="2" t="inlineStr">
        <is>
          <t>Notes</t>
        </is>
      </c>
    </row>
    <row r="5">
      <c r="A5" s="3" t="inlineStr">
        <is>
          <t>AP-C-441</t>
        </is>
      </c>
      <c r="B5" s="3" t="inlineStr">
        <is>
          <t>INV-AR-8790</t>
        </is>
      </c>
      <c r="C5" s="3" t="inlineStr">
        <is>
          <t>Northline Canada Ltd</t>
        </is>
      </c>
      <c r="D5" s="4" t="n">
        <v>127060.39</v>
      </c>
      <c r="E5" s="3" t="inlineStr">
        <is>
          <t>CAD</t>
        </is>
      </c>
      <c r="F5" s="7" t="n">
        <v>1.368</v>
      </c>
      <c r="G5" s="7" t="n">
        <v>1.3724</v>
      </c>
      <c r="H5" t="n" s="4">
        <f>IF(F5=0,0,D5/F5)</f>
        <v>92880.4</v>
      </c>
      <c r="I5" t="n" s="4">
        <f>IF(G5=0,0,D5/G5)</f>
        <v>92582.62</v>
      </c>
      <c r="J5" s="4" t="n">
        <v>92880.4</v>
      </c>
      <c r="K5" t="n" s="4">
        <f>IF(L5="Yes",J5-I5,0)</f>
        <v>297.78</v>
      </c>
      <c r="L5" s="3" t="inlineStr">
        <is>
          <t>Yes</t>
        </is>
      </c>
      <c r="M5" s="3" t="inlineStr">
        <is>
          <t>Revalued</t>
        </is>
      </c>
      <c r="N5" s="3" t="inlineStr">
        <is>
          <t>Stale July booking rate; memo §5 requires revalue at 1.3724</t>
        </is>
      </c>
    </row>
    <row r="6">
      <c r="A6" s="3" t="inlineStr">
        <is>
          <t>AP-C-442</t>
        </is>
      </c>
      <c r="B6" s="3" t="inlineStr">
        <is>
          <t>INV-AR-8766</t>
        </is>
      </c>
      <c r="C6" s="3" t="inlineStr">
        <is>
          <t>Northline Canada Ltd</t>
        </is>
      </c>
      <c r="D6" s="4" t="n">
        <v>56570.58</v>
      </c>
      <c r="E6" s="3" t="inlineStr">
        <is>
          <t>CAD</t>
        </is>
      </c>
      <c r="F6" s="7" t="n">
        <v>1.3724</v>
      </c>
      <c r="G6" s="7" t="n">
        <v>1.3724</v>
      </c>
      <c r="H6" t="n" s="4">
        <f>IF(F6=0,0,D6/F6)</f>
        <v>41220.18</v>
      </c>
      <c r="I6" t="n" s="4">
        <f>IF(G6=0,0,D6/G6)</f>
        <v>41220.18</v>
      </c>
      <c r="J6" s="4" t="n">
        <v>41220.18</v>
      </c>
      <c r="K6" t="n" s="4">
        <f>IF(L6="Yes",J6-I6,0)</f>
        <v>0</v>
      </c>
      <c r="L6" s="3" t="inlineStr">
        <is>
          <t>Yes</t>
        </is>
      </c>
      <c r="M6" s="3" t="inlineStr">
        <is>
          <t>Tied</t>
        </is>
      </c>
      <c r="N6" s="3" t="inlineStr">
        <is>
          <t>Matched INV-AR-8766 at memo rate</t>
        </is>
      </c>
    </row>
    <row r="7">
      <c r="A7" s="3" t="inlineStr">
        <is>
          <t>AP-C-448</t>
        </is>
      </c>
      <c r="B7" s="3" t="inlineStr">
        <is>
          <t>INV-AR-8790</t>
        </is>
      </c>
      <c r="C7" s="3" t="inlineStr">
        <is>
          <t>Northline Canada Ltd</t>
        </is>
      </c>
      <c r="D7" s="4" t="n">
        <v>127060.39</v>
      </c>
      <c r="E7" s="3" t="inlineStr">
        <is>
          <t>CAD</t>
        </is>
      </c>
      <c r="F7" s="7" t="n">
        <v>1.368</v>
      </c>
      <c r="G7" s="7" t="n">
        <v>1.3724</v>
      </c>
      <c r="H7" t="n" s="4">
        <f>IF(F7=0,0,D7/F7)</f>
        <v>92880.4</v>
      </c>
      <c r="I7" t="n" s="4">
        <f>IF(G7=0,0,D7/G7)</f>
        <v>92582.62</v>
      </c>
      <c r="J7" s="4" t="n">
        <v>92880.4</v>
      </c>
      <c r="K7" t="n" s="4">
        <f>IF(L7="Yes",J7-I7,0)</f>
        <v>0</v>
      </c>
      <c r="L7" s="5" t="inlineStr">
        <is>
          <t>No</t>
        </is>
      </c>
      <c r="M7" s="3" t="inlineStr">
        <is>
          <t>Excluded — void duplicate</t>
        </is>
      </c>
      <c r="N7" s="3" t="inlineStr">
        <is>
          <t>Void duplicate of AP-C-441; do not settle</t>
        </is>
      </c>
    </row>
    <row r="8">
      <c r="A8" s="3" t="inlineStr">
        <is>
          <t>AP-C-455</t>
        </is>
      </c>
      <c r="B8" s="3" t="inlineStr"/>
      <c r="C8" s="3" t="inlineStr">
        <is>
          <t>Northline Canada Ltd</t>
        </is>
      </c>
      <c r="D8" s="4" t="n">
        <v>22840.55</v>
      </c>
      <c r="E8" s="3" t="inlineStr">
        <is>
          <t>CAD</t>
        </is>
      </c>
      <c r="F8" s="7" t="n">
        <v>1.3724</v>
      </c>
      <c r="G8" s="7" t="n">
        <v>1.3724</v>
      </c>
      <c r="H8" t="n" s="4">
        <f>IF(F8=0,0,D8/F8)</f>
        <v>16642.78</v>
      </c>
      <c r="I8" t="n" s="4">
        <f>IF(G8=0,0,D8/G8)</f>
        <v>16642.78</v>
      </c>
      <c r="J8" s="4" t="n">
        <v>0</v>
      </c>
      <c r="K8" t="n" s="4">
        <f>IF(L8="Yes",J8-I8,0)</f>
        <v>0</v>
      </c>
      <c r="L8" s="5" t="inlineStr">
        <is>
          <t>No</t>
        </is>
      </c>
      <c r="M8" s="3" t="inlineStr">
        <is>
          <t>Excluded — orphan</t>
        </is>
      </c>
      <c r="N8" s="3" t="inlineStr">
        <is>
          <t>No parent_invoice_ref; local reclass only</t>
        </is>
      </c>
    </row>
    <row r="9">
      <c r="A9" s="3" t="inlineStr">
        <is>
          <t>AP-M-210</t>
        </is>
      </c>
      <c r="B9" s="3" t="inlineStr">
        <is>
          <t>INV-AR-8812</t>
        </is>
      </c>
      <c r="C9" s="3" t="inlineStr">
        <is>
          <t>Northline Mexico SA de CV</t>
        </is>
      </c>
      <c r="D9" s="4" t="n">
        <v>1193217.82</v>
      </c>
      <c r="E9" s="3" t="inlineStr">
        <is>
          <t>MXN</t>
        </is>
      </c>
      <c r="F9" s="7" t="n">
        <v>18.58</v>
      </c>
      <c r="G9" s="7" t="n">
        <v>18.58</v>
      </c>
      <c r="H9" t="n" s="4">
        <f>IF(F9=0,0,D9/F9)</f>
        <v>64220.55</v>
      </c>
      <c r="I9" t="n" s="4">
        <f>IF(G9=0,0,D9/G9)</f>
        <v>64220.55</v>
      </c>
      <c r="J9" s="4" t="n">
        <v>64220.55</v>
      </c>
      <c r="K9" t="n" s="4">
        <f>IF(L9="Yes",J9-I9,0)</f>
        <v>0</v>
      </c>
      <c r="L9" s="3" t="inlineStr">
        <is>
          <t>Yes</t>
        </is>
      </c>
      <c r="M9" s="3" t="inlineStr">
        <is>
          <t>Tied</t>
        </is>
      </c>
      <c r="N9" s="3" t="inlineStr">
        <is>
          <t>Matched INV-AR-8812</t>
        </is>
      </c>
    </row>
    <row r="10">
      <c r="A10" s="3" t="inlineStr">
        <is>
          <t>AP-M-205</t>
        </is>
      </c>
      <c r="B10" s="3" t="inlineStr">
        <is>
          <t>INV-AR-8688</t>
        </is>
      </c>
      <c r="C10" s="3" t="inlineStr">
        <is>
          <t>Northline Mexico SA de CV</t>
        </is>
      </c>
      <c r="D10" s="4" t="n">
        <v>721283.03</v>
      </c>
      <c r="E10" s="3" t="inlineStr">
        <is>
          <t>MXN</t>
        </is>
      </c>
      <c r="F10" s="7" t="n">
        <v>18.58</v>
      </c>
      <c r="G10" s="7" t="n">
        <v>18.58</v>
      </c>
      <c r="H10" t="n" s="4">
        <f>IF(F10=0,0,D10/F10)</f>
        <v>38820.4</v>
      </c>
      <c r="I10" t="n" s="4">
        <f>IF(G10=0,0,D10/G10)</f>
        <v>38820.4</v>
      </c>
      <c r="J10" s="4" t="n">
        <v>38820.4</v>
      </c>
      <c r="K10" t="n" s="4">
        <f>IF(L10="Yes",J10-I10,0)</f>
        <v>0</v>
      </c>
      <c r="L10" s="3" t="inlineStr">
        <is>
          <t>Yes</t>
        </is>
      </c>
      <c r="M10" s="3" t="inlineStr">
        <is>
          <t>Tied</t>
        </is>
      </c>
      <c r="N10" s="3" t="inlineStr">
        <is>
          <t>Matched INV-AR-8688</t>
        </is>
      </c>
    </row>
    <row r="12">
      <c r="A12" s="3" t="inlineStr">
        <is>
          <t>(none)</t>
        </is>
      </c>
      <c r="B12" s="3" t="inlineStr">
        <is>
          <t>INV-AR-8841</t>
        </is>
      </c>
      <c r="C12" s="3" t="inlineStr">
        <is>
          <t>Northline Canada Ltd</t>
        </is>
      </c>
      <c r="D12" s="3" t="n"/>
      <c r="E12" s="3" t="n"/>
      <c r="F12" s="3" t="n"/>
      <c r="G12" s="3" t="n"/>
      <c r="H12" s="3" t="n"/>
      <c r="I12" s="3" t="n"/>
      <c r="J12" s="3" t="n"/>
      <c r="K12" s="3" t="n"/>
      <c r="L12" s="3" t="inlineStr">
        <is>
          <t>n/a</t>
        </is>
      </c>
      <c r="M12" s="3" t="inlineStr">
        <is>
          <t>No AP — InTransit</t>
        </is>
      </c>
      <c r="N12" s="3" t="inlineStr">
        <is>
          <t>FOB shipping point; AP expected on receipt — intercompany_cutoff_and_fx_memo.txt §3</t>
        </is>
      </c>
    </row>
    <row r="13">
      <c r="A13" s="3" t="inlineStr">
        <is>
          <t>(none)</t>
        </is>
      </c>
      <c r="B13" s="3" t="inlineStr">
        <is>
          <t>INV-AR-8855</t>
        </is>
      </c>
      <c r="C13" s="3" t="inlineStr">
        <is>
          <t>Northline Mexico SA de CV</t>
        </is>
      </c>
      <c r="D13" s="3" t="n"/>
      <c r="E13" s="3" t="n"/>
      <c r="F13" s="3" t="n"/>
      <c r="G13" s="3" t="n"/>
      <c r="H13" s="3" t="n"/>
      <c r="I13" s="3" t="n"/>
      <c r="J13" s="3" t="n"/>
      <c r="K13" s="3" t="n"/>
      <c r="L13" s="3" t="inlineStr">
        <is>
          <t>n/a</t>
        </is>
      </c>
      <c r="M13" s="3" t="inlineStr">
        <is>
          <t>No AP — InTransit</t>
        </is>
      </c>
      <c r="N13" s="3" t="inlineStr">
        <is>
          <t>FOB shipping point; AP expected on receipt — intercompany_cutoff_and_fx_memo.txt §3</t>
        </is>
      </c>
    </row>
    <row r="15">
      <c r="A15" t="inlineStr">
        <is>
          <t>Canada matched AP USD @ memo (Include=Yes)</t>
        </is>
      </c>
      <c r="I15" t="n" s="8">
        <f>SUMIFS(I5:I10,C5:C10,"Northline Canada Ltd",L5:L10,"Yes")</f>
        <v>133802.8</v>
      </c>
    </row>
    <row r="16">
      <c r="A16" t="inlineStr">
        <is>
          <t>Mexico matched AP USD @ memo (Include=Yes)</t>
        </is>
      </c>
      <c r="I16" t="n" s="8">
        <f>SUMIFS(I5:I10,C5:C10,"Northline Mexico SA de CV",L5:L10,"Yes")</f>
        <v>103040.95</v>
      </c>
    </row>
    <row r="17">
      <c r="A17" t="inlineStr">
        <is>
          <t>Canada FX difference on matched pairs</t>
        </is>
      </c>
      <c r="K17" t="n" s="8">
        <f>SUMIFS(K5:K10,C5:C10,"Northline Canada Ltd",L5:L10,"Yes")</f>
        <v>297.78</v>
      </c>
    </row>
    <row r="18">
      <c r="A18" t="inlineStr">
        <is>
          <t>AP-C-441 FX difference (parent AR − memo USD)</t>
        </is>
      </c>
      <c r="K18" t="n" s="8">
        <f>K5</f>
        <v>297.78</v>
      </c>
    </row>
    <row r="19">
      <c r="A19" t="inlineStr">
        <is>
          <t>Memo governs: do not use booked 1.3680 for AP-C-441 tie-out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4" customWidth="1" min="1" max="1"/>
    <col width="26" customWidth="1" min="2" max="2"/>
    <col width="18" customWidth="1" min="3" max="3"/>
    <col width="58" customWidth="1" min="4" max="4"/>
    <col width="48" customWidth="1" min="5" max="5"/>
    <col width="52" customWidth="1" min="6" max="6"/>
    <col width="36" customWidth="1" min="7" max="7"/>
    <col width="14" customWidth="1" min="8" max="8"/>
  </cols>
  <sheetData>
    <row r="1">
      <c r="A1" s="1" t="inlineStr">
        <is>
          <t>Exception log: discovered from AR/AP ledgers under memo rules</t>
        </is>
      </c>
    </row>
    <row r="2">
      <c r="A2" t="inlineStr">
        <is>
          <t>Governing memo: intercompany_cutoff_and_fx_memo.txt (rules only — exception IDs discovered in northline-industrial-holdings_ar_subledger.csv / northline-industrial-holdings_ap_mirror.csv)</t>
        </is>
      </c>
    </row>
    <row r="3">
      <c r="A3" t="inlineStr">
        <is>
          <t>Memo §6 documentation fields: record ID | counterparty | exception type | source fact | governing memo rule | treatment | settlement impact</t>
        </is>
      </c>
    </row>
    <row r="4">
      <c r="A4" s="2" t="inlineStr">
        <is>
          <t>Record ID</t>
        </is>
      </c>
      <c r="B4" s="2" t="inlineStr">
        <is>
          <t>Counterparty</t>
        </is>
      </c>
      <c r="C4" s="2" t="inlineStr">
        <is>
          <t>Exception type</t>
        </is>
      </c>
      <c r="D4" s="2" t="inlineStr">
        <is>
          <t>Source fact</t>
        </is>
      </c>
      <c r="E4" s="2" t="inlineStr">
        <is>
          <t>Governing memo rule</t>
        </is>
      </c>
      <c r="F4" s="2" t="inlineStr">
        <is>
          <t>Treatment</t>
        </is>
      </c>
      <c r="G4" s="2" t="inlineStr">
        <is>
          <t>Settlement impact</t>
        </is>
      </c>
      <c r="H4" s="2" t="inlineStr">
        <is>
          <t>Settlement include</t>
        </is>
      </c>
    </row>
    <row r="5">
      <c r="A5" s="3" t="inlineStr">
        <is>
          <t>INV-AR-8841</t>
        </is>
      </c>
      <c r="B5" s="3" t="inlineStr">
        <is>
          <t>Northline Canada Ltd</t>
        </is>
      </c>
      <c r="C5" s="3" t="inlineStr">
        <is>
          <t>InTransit / cut-off</t>
        </is>
      </c>
      <c r="D5" s="3" t="inlineStr">
        <is>
          <t>status_flag=InTransit; ship_date 2026-08-28; no AP parent_invoice_ref</t>
        </is>
      </c>
      <c r="E5" s="3" t="inlineStr">
        <is>
          <t>intercompany_cutoff_and_fx_memo.txt §2–3 / §6 test 7 (FOB; missing AP expected, not orphan)</t>
        </is>
      </c>
      <c r="F5" s="3" t="inlineStr">
        <is>
          <t>Include in Canada AR settlement; no AP expected for Sep 3 wire</t>
        </is>
      </c>
      <c r="G5" s="3" t="inlineStr">
        <is>
          <t>Include $185,420.18 in Canada wire</t>
        </is>
      </c>
      <c r="H5" s="3" t="inlineStr">
        <is>
          <t>Yes</t>
        </is>
      </c>
    </row>
    <row r="6">
      <c r="A6" s="3" t="inlineStr">
        <is>
          <t>INV-AR-8855</t>
        </is>
      </c>
      <c r="B6" s="3" t="inlineStr">
        <is>
          <t>Northline Mexico SA de CV</t>
        </is>
      </c>
      <c r="C6" s="3" t="inlineStr">
        <is>
          <t>InTransit / cut-off</t>
        </is>
      </c>
      <c r="D6" s="3" t="inlineStr">
        <is>
          <t>status_flag=InTransit; ship_date 2026-08-29; no AP parent_invoice_ref</t>
        </is>
      </c>
      <c r="E6" s="3" t="inlineStr">
        <is>
          <t>intercompany_cutoff_and_fx_memo.txt §2–3 / §6 test 7 (FOB; missing AP expected, not orphan)</t>
        </is>
      </c>
      <c r="F6" s="3" t="inlineStr">
        <is>
          <t>Include in Mexico AR settlement; no AP expected for Sep 3 wire</t>
        </is>
      </c>
      <c r="G6" s="3" t="inlineStr">
        <is>
          <t>Include $128,440.00 in Mexico wire</t>
        </is>
      </c>
      <c r="H6" s="3" t="inlineStr">
        <is>
          <t>Yes</t>
        </is>
      </c>
    </row>
    <row r="7">
      <c r="A7" s="3" t="inlineStr">
        <is>
          <t>INV-AR-8820</t>
        </is>
      </c>
      <c r="B7" s="3" t="inlineStr">
        <is>
          <t>Northline Canada Ltd</t>
        </is>
      </c>
      <c r="C7" s="3" t="inlineStr">
        <is>
          <t>Void AR</t>
        </is>
      </c>
      <c r="D7" s="3" t="inlineStr">
        <is>
          <t>status_flag=Void on AR subledger</t>
        </is>
      </c>
      <c r="E7" s="3" t="inlineStr">
        <is>
          <t>intercompany_cutoff_and_fx_memo.txt §6 test 1 (void AR never settled)</t>
        </is>
      </c>
      <c r="F7" s="5" t="inlineStr">
        <is>
          <t>Exclude from AR settlement and wire</t>
        </is>
      </c>
      <c r="G7" s="3" t="inlineStr">
        <is>
          <t>Exclude $15,500.00 from Canada wire</t>
        </is>
      </c>
      <c r="H7" s="5" t="inlineStr">
        <is>
          <t>No</t>
        </is>
      </c>
    </row>
    <row r="8">
      <c r="A8" s="3" t="inlineStr">
        <is>
          <t>AP-C-448</t>
        </is>
      </c>
      <c r="B8" s="3" t="inlineStr">
        <is>
          <t>Northline Canada Ltd</t>
        </is>
      </c>
      <c r="C8" s="3" t="inlineStr">
        <is>
          <t>Void / duplicate AP</t>
        </is>
      </c>
      <c r="D8" s="3" t="inlineStr">
        <is>
          <t>status_flag=Void; same parent_invoice_ref/amount as Open AP-C-441</t>
        </is>
      </c>
      <c r="E8" s="3" t="inlineStr">
        <is>
          <t>intercompany_cutoff_and_fx_memo.txt §6 tests 2–3 (void AP excluded; duplicate retains Open payable)</t>
        </is>
      </c>
      <c r="F8" s="5" t="inlineStr">
        <is>
          <t>Exclude from Canada AP tie-out and wire</t>
        </is>
      </c>
      <c r="G8" s="3" t="inlineStr">
        <is>
          <t>No wire; omit from matched AP USD</t>
        </is>
      </c>
      <c r="H8" s="5" t="inlineStr">
        <is>
          <t>No</t>
        </is>
      </c>
    </row>
    <row r="9">
      <c r="A9" s="3" t="inlineStr">
        <is>
          <t>AP-C-455</t>
        </is>
      </c>
      <c r="B9" s="3" t="inlineStr">
        <is>
          <t>Northline Canada Ltd</t>
        </is>
      </c>
      <c r="C9" s="3" t="inlineStr">
        <is>
          <t>Orphan AP</t>
        </is>
      </c>
      <c r="D9" s="3" t="inlineStr">
        <is>
          <t>status_flag=Open; blank parent_invoice_ref</t>
        </is>
      </c>
      <c r="E9" s="3" t="inlineStr">
        <is>
          <t>intercompany_cutoff_and_fx_memo.txt §6 test 4 (orphan AP excluded / local reclass)</t>
        </is>
      </c>
      <c r="F9" s="5" t="inlineStr">
        <is>
          <t>Exclude from Canada settlement net; route to entity controllers</t>
        </is>
      </c>
      <c r="G9" s="3" t="inlineStr">
        <is>
          <t>Do not wire ~$16,642.78 memo USD</t>
        </is>
      </c>
      <c r="H9" s="5" t="inlineStr">
        <is>
          <t>No</t>
        </is>
      </c>
    </row>
    <row r="10">
      <c r="A10" s="3" t="inlineStr">
        <is>
          <t>AP-C-441</t>
        </is>
      </c>
      <c r="B10" s="3" t="inlineStr">
        <is>
          <t>Northline Canada Ltd</t>
        </is>
      </c>
      <c r="C10" s="3" t="inlineStr">
        <is>
          <t>Stale FX booking</t>
        </is>
      </c>
      <c r="D10" s="3" t="inlineStr">
        <is>
          <t>fx_rate_used=1.368 vs memo CAD 1.3724; parent INV-AR-8790</t>
        </is>
      </c>
      <c r="E10" s="3" t="inlineStr">
        <is>
          <t>intercompany_cutoff_and_fx_memo.txt §4–5 (revalue stale fx_rate_used; parent USD governs wire)</t>
        </is>
      </c>
      <c r="F10" s="3" t="inlineStr">
        <is>
          <t>Revalue at memo 1.3724 for tie-out; wire remains parent AR USD</t>
        </is>
      </c>
      <c r="G10" s="3" t="inlineStr">
        <is>
          <t>FX difference $297.78; wire still $92,880.40</t>
        </is>
      </c>
      <c r="H10" s="3" t="inlineStr">
        <is>
          <t>Yes</t>
        </is>
      </c>
    </row>
    <row r="12">
      <c r="A12" t="inlineStr">
        <is>
          <t>AP-C-441 FX difference (USD)</t>
        </is>
      </c>
      <c r="B12" t="n" s="8">
        <f>AP_FX_TieOut!K5</f>
        <v>297.78</v>
      </c>
      <c r="C12" t="inlineStr">
        <is>
          <t>Parent INV-AR-8790 USD minus AP revalued at memo CAD rate</t>
        </is>
      </c>
    </row>
    <row r="13">
      <c r="A13" t="inlineStr">
        <is>
          <t>Orphan CAD at memo (info only - not wired)</t>
        </is>
      </c>
      <c r="B13" s="8" t="n">
        <v>16642.78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8" customWidth="1" min="1" max="1"/>
    <col width="72" customWidth="1" min="2" max="2"/>
    <col width="36" customWidth="1" min="3" max="3"/>
    <col width="70" customWidth="1" min="4" max="4"/>
    <col width="18" customWidth="1" min="5" max="5"/>
    <col width="52" customWidth="1" min="6" max="6"/>
    <col width="36" customWidth="1" min="7" max="7"/>
  </cols>
  <sheetData>
    <row r="1">
      <c r="A1" s="1" t="inlineStr">
        <is>
          <t>Memo §6 exception criteria — independent tests</t>
        </is>
      </c>
    </row>
    <row r="2">
      <c r="A2" t="inlineStr">
        <is>
          <t>Source: intercompany_cutoff_and_fx_memo.txt §6 | Evaluated against northline-industrial-holdings_ar_subledger.csv / northline-industrial-holdings_ap_mirror.csv fields (not collapsed into a four-category summary)</t>
        </is>
      </c>
    </row>
    <row r="4">
      <c r="A4" s="2" t="inlineStr">
        <is>
          <t>Test #</t>
        </is>
      </c>
      <c r="B4" s="2" t="inlineStr">
        <is>
          <t>Section 6 criterion</t>
        </is>
      </c>
      <c r="C4" s="2" t="inlineStr">
        <is>
          <t>Source field(s)</t>
        </is>
      </c>
      <c r="D4" s="2" t="inlineStr">
        <is>
          <t>Observed condition</t>
        </is>
      </c>
      <c r="E4" s="2" t="inlineStr">
        <is>
          <t>Result</t>
        </is>
      </c>
      <c r="F4" s="2" t="inlineStr">
        <is>
          <t>Treatment</t>
        </is>
      </c>
      <c r="G4" s="2" t="inlineStr">
        <is>
          <t>Record ID</t>
        </is>
      </c>
    </row>
    <row r="5">
      <c r="A5" s="3" t="n">
        <v>1</v>
      </c>
      <c r="B5" s="3" t="inlineStr">
        <is>
          <t>Void AR: status_flag Void excluded from settlement and Sep 3 wire</t>
        </is>
      </c>
      <c r="C5" s="3" t="inlineStr">
        <is>
          <t>AR status_flag</t>
        </is>
      </c>
      <c r="D5" s="3" t="inlineStr">
        <is>
          <t>INV-AR-8820 status_flag=Void</t>
        </is>
      </c>
      <c r="E5" s="5" t="inlineStr">
        <is>
          <t>FAIL (exception)</t>
        </is>
      </c>
      <c r="F5" s="3" t="inlineStr">
        <is>
          <t>Exclude from AR settlement / wire</t>
        </is>
      </c>
      <c r="G5" s="3" t="inlineStr">
        <is>
          <t>INV-AR-8820</t>
        </is>
      </c>
    </row>
    <row r="6">
      <c r="A6" s="3" t="n">
        <v>2</v>
      </c>
      <c r="B6" s="3" t="inlineStr">
        <is>
          <t>Void AP: status_flag Void excluded from AP FX tie-out and not wired</t>
        </is>
      </c>
      <c r="C6" s="3" t="inlineStr">
        <is>
          <t>AP status_flag</t>
        </is>
      </c>
      <c r="D6" s="3" t="inlineStr">
        <is>
          <t>AP-C-448 status_flag=Void</t>
        </is>
      </c>
      <c r="E6" s="5" t="inlineStr">
        <is>
          <t>FAIL (exception)</t>
        </is>
      </c>
      <c r="F6" s="3" t="inlineStr">
        <is>
          <t>Exclude from AP tie-out / wire</t>
        </is>
      </c>
      <c r="G6" s="3" t="inlineStr">
        <is>
          <t>AP-C-448</t>
        </is>
      </c>
    </row>
    <row r="7">
      <c r="A7" s="3" t="n">
        <v>3</v>
      </c>
      <c r="B7" s="3" t="inlineStr">
        <is>
          <t>Duplicate AP: same parent_invoice_ref with Void sibling — exclude Void, retain Open</t>
        </is>
      </c>
      <c r="C7" s="3" t="inlineStr">
        <is>
          <t>AP parent_invoice_ref; status_flag</t>
        </is>
      </c>
      <c r="D7" s="3" t="inlineStr">
        <is>
          <t>AP-C-448 and AP-C-441 both reference INV-AR-8790; AP-C-448 Void / AP-C-441 Open</t>
        </is>
      </c>
      <c r="E7" s="5" t="inlineStr">
        <is>
          <t>FAIL (exception on Void)</t>
        </is>
      </c>
      <c r="F7" s="3" t="inlineStr">
        <is>
          <t>Exclude Void duplicate; retain Open AP-C-441 for tie-out</t>
        </is>
      </c>
      <c r="G7" s="3" t="inlineStr">
        <is>
          <t>AP-C-448</t>
        </is>
      </c>
    </row>
    <row r="8">
      <c r="A8" s="3" t="n">
        <v>4</v>
      </c>
      <c r="B8" s="3" t="inlineStr">
        <is>
          <t>Orphan AP: Open AP with blank parent_invoice_ref excluded; local reclass</t>
        </is>
      </c>
      <c r="C8" s="3" t="inlineStr">
        <is>
          <t>AP status_flag; parent_invoice_ref</t>
        </is>
      </c>
      <c r="D8" s="3" t="inlineStr">
        <is>
          <t>AP-C-455 Open with blank parent_invoice_ref</t>
        </is>
      </c>
      <c r="E8" s="5" t="inlineStr">
        <is>
          <t>FAIL (exception)</t>
        </is>
      </c>
      <c r="F8" s="3" t="inlineStr">
        <is>
          <t>Exclude from settlement net; route to entity controllers</t>
        </is>
      </c>
      <c r="G8" s="3" t="inlineStr">
        <is>
          <t>AP-C-455</t>
        </is>
      </c>
    </row>
    <row r="9">
      <c r="A9" s="3" t="n">
        <v>5</v>
      </c>
      <c r="B9" s="3" t="inlineStr">
        <is>
          <t>Matched AP only: FX tie-out includes only Open (non-void, non-orphan) AP</t>
        </is>
      </c>
      <c r="C9" s="3" t="inlineStr">
        <is>
          <t>AP status_flag; Include flag</t>
        </is>
      </c>
      <c r="D9" s="3" t="inlineStr">
        <is>
          <t>AP-C-441/442 and AP-M-210/205 Open+Include=Yes; void/orphan Include=No</t>
        </is>
      </c>
      <c r="E9" s="9" t="inlineStr">
        <is>
          <t>PASS</t>
        </is>
      </c>
      <c r="F9" s="3" t="inlineStr">
        <is>
          <t>Matched Open AP enter tie-out; void/orphan do not</t>
        </is>
      </c>
      <c r="G9" s="3" t="inlineStr">
        <is>
          <t>AP-C-441; AP-C-442; AP-M-210; AP-M-205</t>
        </is>
      </c>
    </row>
    <row r="10">
      <c r="A10" s="3" t="n">
        <v>6</v>
      </c>
      <c r="B10" s="3" t="inlineStr">
        <is>
          <t>Matched AP only: parent_invoice_ref equals an Appendix A AR included in settlement</t>
        </is>
      </c>
      <c r="C10" s="3" t="inlineStr">
        <is>
          <t>AP parent_invoice_ref; AR Include</t>
        </is>
      </c>
      <c r="D10" s="3" t="inlineStr">
        <is>
          <t>Matched refs INV-AR-8790/8766/8812/8688 are Appendix A Include=Yes</t>
        </is>
      </c>
      <c r="E10" s="9" t="inlineStr">
        <is>
          <t>PASS</t>
        </is>
      </c>
      <c r="F10" s="3" t="inlineStr">
        <is>
          <t>Only Appendix A parent refs enter matched AP set</t>
        </is>
      </c>
      <c r="G10" s="3" t="inlineStr">
        <is>
          <t>AP-C-441; AP-C-442; AP-M-210; AP-M-205</t>
        </is>
      </c>
    </row>
    <row r="11">
      <c r="A11" s="3" t="n">
        <v>7</v>
      </c>
      <c r="B11" s="3" t="inlineStr">
        <is>
          <t>InTransit missing AP is expected and is not an orphan</t>
        </is>
      </c>
      <c r="C11" s="3" t="inlineStr">
        <is>
          <t>AR status_flag; AP parent_invoice_ref absence</t>
        </is>
      </c>
      <c r="D11" s="3" t="inlineStr">
        <is>
          <t>INV-AR-8841 / INV-AR-8855 InTransit; no matching AP parent_invoice_ref</t>
        </is>
      </c>
      <c r="E11" s="9" t="inlineStr">
        <is>
          <t>PASS (expected gap)</t>
        </is>
      </c>
      <c r="F11" s="3" t="inlineStr">
        <is>
          <t>Keep InTransit AR in settlement; do not classify as orphan AP</t>
        </is>
      </c>
      <c r="G11" s="3" t="inlineStr">
        <is>
          <t>INV-AR-8841; INV-AR-8855</t>
        </is>
      </c>
    </row>
    <row r="13">
      <c r="A13" t="inlineStr">
        <is>
          <t>§6 tests evaluated (count)</t>
        </is>
      </c>
      <c r="B13" t="n">
        <f>COUNTA(A5:A11)</f>
        <v>7</v>
      </c>
    </row>
    <row r="14">
      <c r="A14" t="inlineStr">
        <is>
          <t>Required §6 test count</t>
        </is>
      </c>
      <c r="B14" t="n">
        <v>7</v>
      </c>
    </row>
    <row r="15">
      <c r="A15" t="inlineStr">
        <is>
          <t>All seven §6 tests present</t>
        </is>
      </c>
      <c r="B15" t="str" s="10">
        <f>IF(B13=B14,"PASS","FAIL")</f>
        <v>PASS</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4" customWidth="1" min="1" max="1"/>
    <col width="22" customWidth="1" min="2" max="2"/>
    <col width="26" customWidth="1" min="3" max="3"/>
    <col width="12" customWidth="1" min="4" max="4"/>
    <col width="42" customWidth="1" min="5" max="5"/>
  </cols>
  <sheetData>
    <row r="1">
      <c r="A1" s="1" t="inlineStr">
        <is>
          <t>Exception self-consistency control</t>
        </is>
      </c>
    </row>
    <row r="2">
      <c r="A2" t="inlineStr">
        <is>
          <t>Compares AR/AP Include flags, Exceptions treatment, and settlement inclusion. FAIL if a row is both settlement-included and exception-excluded, or vice versa.</t>
        </is>
      </c>
    </row>
    <row r="4">
      <c r="A4" s="2" t="inlineStr">
        <is>
          <t>Record ID</t>
        </is>
      </c>
      <c r="B4" s="2" t="inlineStr">
        <is>
          <t>Source sheet Include</t>
        </is>
      </c>
      <c r="C4" s="2" t="inlineStr">
        <is>
          <t>Exceptions settlement include</t>
        </is>
      </c>
      <c r="D4" s="2" t="inlineStr">
        <is>
          <t>Aligned?</t>
        </is>
      </c>
      <c r="E4" s="2" t="inlineStr">
        <is>
          <t>Control note</t>
        </is>
      </c>
    </row>
    <row r="5">
      <c r="A5" s="3" t="inlineStr">
        <is>
          <t>INV-AR-8841</t>
        </is>
      </c>
      <c r="B5" t="str" s="3">
        <f>AR_Settlement!H5</f>
        <v>Yes</v>
      </c>
      <c r="C5" t="str" s="3">
        <f>Exceptions!H5</f>
        <v>Yes</v>
      </c>
      <c r="D5" t="str" s="3">
        <f>IF(B5=C5,"PASS","FAIL")</f>
        <v>PASS</v>
      </c>
      <c r="E5" s="3" t="inlineStr">
        <is>
          <t>InTransit kept in settlement</t>
        </is>
      </c>
    </row>
    <row r="6">
      <c r="A6" s="3" t="inlineStr">
        <is>
          <t>INV-AR-8855</t>
        </is>
      </c>
      <c r="B6" t="str" s="3">
        <f>AR_Settlement!H9</f>
        <v>Yes</v>
      </c>
      <c r="C6" t="str" s="3">
        <f>Exceptions!H6</f>
        <v>Yes</v>
      </c>
      <c r="D6" t="str" s="3">
        <f>IF(B6=C6,"PASS","FAIL")</f>
        <v>PASS</v>
      </c>
      <c r="E6" s="3" t="inlineStr">
        <is>
          <t>InTransit kept in settlement</t>
        </is>
      </c>
    </row>
    <row r="7">
      <c r="A7" s="3" t="inlineStr">
        <is>
          <t>INV-AR-8820</t>
        </is>
      </c>
      <c r="B7" t="str" s="3">
        <f>AR_Settlement!H11</f>
        <v>No</v>
      </c>
      <c r="C7" t="str" s="3">
        <f>Exceptions!H7</f>
        <v>No</v>
      </c>
      <c r="D7" t="str" s="3">
        <f>IF(B7=C7,"PASS","FAIL")</f>
        <v>PASS</v>
      </c>
      <c r="E7" s="3" t="inlineStr">
        <is>
          <t>Void AR excluded both places</t>
        </is>
      </c>
    </row>
    <row r="8">
      <c r="A8" s="3" t="inlineStr">
        <is>
          <t>AP-C-448</t>
        </is>
      </c>
      <c r="B8" t="str" s="3">
        <f>AP_FX_TieOut!L7</f>
        <v>No</v>
      </c>
      <c r="C8" t="str" s="3">
        <f>Exceptions!H8</f>
        <v>No</v>
      </c>
      <c r="D8" t="str" s="3">
        <f>IF(B8=C8,"PASS","FAIL")</f>
        <v>PASS</v>
      </c>
      <c r="E8" s="3" t="inlineStr">
        <is>
          <t>Void duplicate excluded both places</t>
        </is>
      </c>
    </row>
    <row r="9">
      <c r="A9" s="3" t="inlineStr">
        <is>
          <t>AP-C-455</t>
        </is>
      </c>
      <c r="B9" t="str" s="3">
        <f>AP_FX_TieOut!L8</f>
        <v>No</v>
      </c>
      <c r="C9" t="str" s="3">
        <f>Exceptions!H9</f>
        <v>No</v>
      </c>
      <c r="D9" t="str" s="3">
        <f>IF(B9=C9,"PASS","FAIL")</f>
        <v>PASS</v>
      </c>
      <c r="E9" s="3" t="inlineStr">
        <is>
          <t>Orphan excluded both places</t>
        </is>
      </c>
    </row>
    <row r="10">
      <c r="A10" s="3" t="inlineStr">
        <is>
          <t>AP-C-441</t>
        </is>
      </c>
      <c r="B10" t="str" s="3">
        <f>AP_FX_TieOut!L5</f>
        <v>Yes</v>
      </c>
      <c r="C10" t="str" s="3">
        <f>Exceptions!H10</f>
        <v>Yes</v>
      </c>
      <c r="D10" t="str" s="3">
        <f>IF(B10=C10,"PASS","FAIL")</f>
        <v>PASS</v>
      </c>
      <c r="E10" s="3" t="inlineStr">
        <is>
          <t>Matched stale FX retained in tie-out</t>
        </is>
      </c>
    </row>
    <row r="12">
      <c r="A12" t="inlineStr">
        <is>
          <t>Contradiction count (FAIL rows)</t>
        </is>
      </c>
      <c r="B12" t="n">
        <f>COUNTIF(D5:D10,"FAIL")</f>
        <v>0</v>
      </c>
    </row>
    <row r="13">
      <c r="A13" t="inlineStr">
        <is>
          <t>Self-consistency control</t>
        </is>
      </c>
      <c r="B13" t="str" s="11">
        <f>IF(B12=0,"PASS","FAIL")</f>
        <v>PASS</v>
      </c>
    </row>
    <row r="14">
      <c r="A14" t="inlineStr">
        <is>
          <t>PASS requires: no Include=Yes row treated as settlement-excluded in Exceptions, and no exception-excluded row still Include=Yes on AR/AP sheets.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8" customWidth="1" min="1" max="1"/>
    <col width="14" customWidth="1" min="2" max="2"/>
    <col width="18" customWidth="1" min="3" max="3"/>
    <col width="14" customWidth="1" min="4" max="4"/>
    <col width="16" customWidth="1" min="5" max="5"/>
    <col width="20" customWidth="1" min="6" max="6"/>
    <col width="55" customWidth="1" min="7" max="7"/>
  </cols>
  <sheetData>
    <row r="1">
      <c r="A1" s="1" t="inlineStr">
        <is>
          <t>Counterparty netting: September 3 wire basis</t>
        </is>
      </c>
    </row>
    <row r="2">
      <c r="A2" t="inlineStr">
        <is>
          <t>Parent invoice USD governs wires; converted AP is tie-out only (memo §5)</t>
        </is>
      </c>
    </row>
    <row r="4">
      <c r="A4" s="2" t="inlineStr">
        <is>
          <t>Counterparty</t>
        </is>
      </c>
      <c r="B4" s="2" t="inlineStr">
        <is>
          <t>Valid AR USD</t>
        </is>
      </c>
      <c r="C4" s="2" t="inlineStr">
        <is>
          <t>Matched AP USD @ memo</t>
        </is>
      </c>
      <c r="D4" s="2" t="inlineStr">
        <is>
          <t>FX adjustment</t>
        </is>
      </c>
      <c r="E4" s="2" t="inlineStr">
        <is>
          <t>Net settlement USD</t>
        </is>
      </c>
      <c r="F4" s="2" t="inlineStr">
        <is>
          <t>Direction</t>
        </is>
      </c>
      <c r="G4" s="2" t="inlineStr">
        <is>
          <t>Exception impact</t>
        </is>
      </c>
    </row>
    <row r="5">
      <c r="A5" s="3" t="inlineStr">
        <is>
          <t>Northline Canada Ltd</t>
        </is>
      </c>
      <c r="B5" t="n" s="4">
        <f>AR_Settlement!F13</f>
        <v>319520.76</v>
      </c>
      <c r="C5" t="n" s="4">
        <f>AP_FX_TieOut!I15</f>
        <v>133802.8</v>
      </c>
      <c r="D5" t="n" s="4">
        <f>AP_FX_TieOut!K17</f>
        <v>297.78</v>
      </c>
      <c r="E5" t="n" s="4">
        <f>B5</f>
        <v>319520.76</v>
      </c>
      <c r="F5" s="3" t="inlineStr">
        <is>
          <t>Affiliate pays parent</t>
        </is>
      </c>
      <c r="G5" s="3" t="inlineStr">
        <is>
          <t>Void AP-C-448 and orphan AP-C-455 excluded; InTransit INV-AR-8841 included</t>
        </is>
      </c>
    </row>
    <row r="6">
      <c r="A6" s="3" t="inlineStr">
        <is>
          <t>Northline Mexico SA de CV</t>
        </is>
      </c>
      <c r="B6" t="n" s="4">
        <f>AR_Settlement!F14</f>
        <v>231480.95</v>
      </c>
      <c r="C6" t="n" s="4">
        <f>AP_FX_TieOut!I16</f>
        <v>103040.95</v>
      </c>
      <c r="D6" t="n" s="4">
        <f>(B6-AR_Settlement!F9)-C6</f>
        <v>0</v>
      </c>
      <c r="E6" t="n" s="4">
        <f>B6</f>
        <v>231480.95</v>
      </c>
      <c r="F6" s="3" t="inlineStr">
        <is>
          <t>Affiliate pays parent</t>
        </is>
      </c>
      <c r="G6" s="3" t="inlineStr">
        <is>
          <t>InTransit INV-AR-8855 included; no void/orphan on Mexico matched set</t>
        </is>
      </c>
    </row>
    <row r="8">
      <c r="A8" t="inlineStr">
        <is>
          <t>Total net settlement / wire instruction USD</t>
        </is>
      </c>
      <c r="E8" t="n" s="6">
        <f>E5+E6</f>
        <v>551001.71</v>
      </c>
    </row>
    <row r="9">
      <c r="A9" t="inlineStr">
        <is>
          <t>Do not wire void INV-AR-8820, void AP-C-448, or orphan AP-C-455.</t>
        </is>
      </c>
    </row>
    <row r="10">
      <c r="A10" t="inlineStr">
        <is>
          <t>Control totals: Canada 319,520.76 | Mexico 231,480.95 | Total 551,001.71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78" customWidth="1" min="1" max="1"/>
    <col width="14" customWidth="1" min="2" max="2"/>
    <col width="10" customWidth="1" min="3" max="3"/>
  </cols>
  <sheetData>
    <row r="1">
      <c r="A1" s="1" t="inlineStr">
        <is>
          <t>Northline Industrial Holdings: September 3 intercompany settlement recommendation</t>
        </is>
      </c>
    </row>
    <row r="2">
      <c r="A2" t="inlineStr">
        <is>
          <t>Balances as of 2026-08-31 | Wire date 2026-09-03 | Citation: intercompany_cutoff_and_fx_memo.txt</t>
        </is>
      </c>
    </row>
    <row r="4">
      <c r="A4" s="12" t="inlineStr">
        <is>
          <t>Ready to net / wire</t>
        </is>
      </c>
    </row>
    <row r="5">
      <c r="A5" t="inlineStr">
        <is>
          <t>Northline Canada Ltd pays parent (Appendix A AR, incl. InTransit INV-AR-8841)</t>
        </is>
      </c>
      <c r="B5" t="n" s="8">
        <f>Counterparty_Netting!E5</f>
        <v>319520.76</v>
      </c>
      <c r="C5" s="10" t="inlineStr">
        <is>
          <t>Ready to wire</t>
        </is>
      </c>
    </row>
    <row r="6">
      <c r="A6" t="inlineStr">
        <is>
          <t>Northline Mexico SA de CV pays parent (Appendix A AR, incl. InTransit INV-AR-8855)</t>
        </is>
      </c>
      <c r="B6" t="n" s="8">
        <f>Counterparty_Netting!E6</f>
        <v>231480.95</v>
      </c>
      <c r="C6" s="10" t="inlineStr">
        <is>
          <t>Ready to wire</t>
        </is>
      </c>
    </row>
    <row r="7">
      <c r="A7" t="inlineStr">
        <is>
          <t>Total USD to collect from affiliates</t>
        </is>
      </c>
      <c r="B7" t="n" s="6">
        <f>B5+B6</f>
        <v>551001.71</v>
      </c>
    </row>
    <row r="9">
      <c r="A9" s="12" t="inlineStr">
        <is>
          <t>Exception handling: do not wire</t>
        </is>
      </c>
    </row>
    <row r="10">
      <c r="A10" t="inlineStr">
        <is>
          <t>INV-AR-8820 (Void): exclude from Canada wire</t>
        </is>
      </c>
    </row>
    <row r="11">
      <c r="A11" t="inlineStr">
        <is>
          <t>AP-C-448 (Void duplicate): exclude from AP tie-out and settlement</t>
        </is>
      </c>
    </row>
    <row r="12">
      <c r="A12" t="inlineStr">
        <is>
          <t>AP-C-455 (Orphan): exclude from Canada net; send to entity controllers for local AP reclass</t>
        </is>
      </c>
    </row>
    <row r="14">
      <c r="A14" s="12" t="inlineStr">
        <is>
          <t>Investigation / tie-out only</t>
        </is>
      </c>
    </row>
    <row r="15" ht="48" customHeight="1">
      <c r="A15" s="13" t="inlineStr">
        <is>
          <t>AP-C-441 booked at CAD 1.368; revalue at memo 1.3724. FX difference vs INV-AR-8790 is captured on AP_FX_TieOut (approx $297.78). Wire the parent invoice USD, not the converted AP USD.</t>
        </is>
      </c>
    </row>
    <row r="17">
      <c r="A17" s="12" t="inlineStr">
        <is>
          <t>Controller recommendation</t>
        </is>
      </c>
    </row>
    <row r="18" ht="72" customHeight="1">
      <c r="A18" s="13" t="inlineStr">
        <is>
          <t>Proceed with the 2026-09-03 sweep collecting Appendix A AR from Canada and Mexico per intercompany_cutoff_and_fx_memo.txt. Keep InTransit INV-AR-8841 and INV-AR-8855 in the population (FOB shipping point). Use August 31 memo FX only to tie out matched AP. Do not instruct treasury to wire voids or the orphan payable. Parent invoice USD amounts govern the wires.</t>
        </is>
      </c>
    </row>
  </sheetData>
  <mergeCells count="2">
    <mergeCell ref="A15:D15"/>
    <mergeCell ref="A18:D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Working notes / methodology</t>
        </is>
      </c>
    </row>
    <row r="3" ht="32" customHeight="1">
      <c r="A3" s="13" t="inlineStr">
        <is>
          <t>1. intercompany_cutoff_and_fx_memo.txt governs where the AR and AP ledgers conflict, including the applicable cut-off, FX, and exception treatment.</t>
        </is>
      </c>
    </row>
    <row r="4" ht="32" customHeight="1">
      <c r="A4" s="13" t="inlineStr">
        <is>
          <t>2. Sources: northline-industrial-holdings_ar_subledger.csv, northline-industrial-holdings_ap_mirror.csv, intercompany_cutoff_and_fx_memo.txt.</t>
        </is>
      </c>
    </row>
    <row r="5" ht="32" customHeight="1">
      <c r="A5" s="13" t="inlineStr">
        <is>
          <t>3. Appendix A discovered from AR attributes (memo §2): Open or InTransit, Canada/Mexico counterparty, amount_usd ≥ $35,000.00 → INV-AR-8841/8790/8766/8812/8855/8688.</t>
        </is>
      </c>
    </row>
    <row r="6" ht="32" customHeight="1">
      <c r="A6" s="13" t="inlineStr">
        <is>
          <t>4. FOB shipping-point (memo §3): InTransit Appendix A rows INV-AR-8841 and INV-AR-8855 stay in settlement even though affiliate AP is not booked yet.</t>
        </is>
      </c>
    </row>
    <row r="7" ht="32" customHeight="1">
      <c r="A7" s="13" t="inlineStr">
        <is>
          <t>5. August 31 FX (memo §4–5): CAD 1.3724, MXN 18.58 per USD. Stale booking AP-C-441 (fx_rate_used 1.368) revalued at memo; parent invoice USD still governs the wire.</t>
        </is>
      </c>
    </row>
    <row r="8" ht="32" customHeight="1">
      <c r="A8" s="13" t="inlineStr">
        <is>
          <t>6. Tie-out conversion: USD = local amount / (foreign units per 1 USD).</t>
        </is>
      </c>
    </row>
    <row r="9" ht="32" customHeight="1">
      <c r="A9" s="13" t="inlineStr">
        <is>
          <t>7. Memo §6 seven tests applied independently on Section6_Tests: void AR; void AP; duplicate AP; orphan AP; matched Open-only; matched parent_invoice_ref=Appendix A; InTransit missing AP not orphan.</t>
        </is>
      </c>
    </row>
    <row r="10" ht="32" customHeight="1">
      <c r="A10" s="13" t="inlineStr">
        <is>
          <t>8. Consistency sheet confirms Include flags align with Exceptions settlement treatment.</t>
        </is>
      </c>
    </row>
    <row r="11" ht="32" customHeight="1">
      <c r="A11" s="13" t="inlineStr">
        <is>
          <t>9. Totals and FX differences are formula-linked to the AR_Settlement and AP_FX_TieOut rows.</t>
        </is>
      </c>
    </row>
    <row r="12" ht="32" customHeight="1"/>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kinshuk.prasad</dc:creator>
  <dcterms:created xsi:type="dcterms:W3CDTF">2026-09-07T10:17:15Z</dcterms:created>
  <dcterms:modified xsi:type="dcterms:W3CDTF">2026-09-07T10:17:15Z</dcterms:modified>
  <cp:lastModifiedBy>kinshuk.prasad</cp:lastModifiedBy>
</cp:coreProperties>
</file>