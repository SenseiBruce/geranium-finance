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verage Decision Tree" sheetId="2" state="visible" r:id="rId2"/>
    <sheet name="Evidence &amp; Rule Matrix" sheetId="3" state="visible" r:id="rId3"/>
    <sheet name="Maintenance Timeline" sheetId="4" state="visible" r:id="rId4"/>
    <sheet name="Inventory Audit Trail" sheetId="5" state="visible" r:id="rId5"/>
    <sheet name="Valuation Reconciliation" sheetId="6" state="visible" r:id="rId6"/>
    <sheet name="Reserve Bridge" sheetId="7" state="visible" r:id="rId7"/>
    <sheet name="Pure vs Case" sheetId="8" state="visible" r:id="rId8"/>
    <sheet name="Scenario Checks" sheetId="9" state="visible" r:id="rId9"/>
    <sheet name="Decision Trace" sheetId="10" state="visible" r:id="rId10"/>
    <sheet name="Denied Items" sheetId="11" state="visible" r:id="rId11"/>
    <sheet name="ALAE" sheetId="12" state="visible" r:id="rId12"/>
    <sheet name="Consistency Checks" sheetId="13" state="visible" r:id="rId13"/>
    <sheet name="File Recommen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pivotButton="0" quotePrefix="0" xfId="0"/>
    <xf numFmtId="0" fontId="2" fillId="2" borderId="0" pivotButton="0" quotePrefix="0" xfId="0"/>
    <xf numFmtId="4" fontId="3" fillId="0" borderId="1" pivotButton="0" quotePrefix="0" xfId="0"/>
    <xf numFmtId="0" fontId="3" fillId="2" borderId="1" pivotButton="0" quotePrefix="0" xfId="0"/>
    <xf numFmtId="4" fontId="3" fillId="2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wrapText="1"/>
    </xf>
    <xf numFmtId="4" fontId="3" fillId="0" borderId="1" applyAlignment="1" pivotButton="0" quotePrefix="0" xfId="0">
      <alignment wrapText="1"/>
    </xf>
    <xf numFmtId="4" fontId="2" fillId="0" borderId="1" pivotButton="0" quotePrefix="0" xfId="0"/>
    <xf numFmtId="4" fontId="0" fillId="2" borderId="1" pivotButton="0" quotePrefix="0" xfId="0"/>
    <xf numFmtId="0" fontId="3" fillId="3" borderId="1" pivotButton="0" quotePrefix="0" xfId="0"/>
    <xf numFmtId="0" fontId="1" fillId="2" borderId="0" pivotButton="0" quotePrefix="0" xfId="0"/>
    <xf numFmtId="4" fontId="0" fillId="0" borderId="0" pivotButton="0" quotePrefix="0" xfId="0"/>
    <xf numFmtId="4" fontId="3" fillId="2" borderId="1" applyAlignment="1" pivotButton="0" quotePrefix="0" xfId="0">
      <alignment wrapText="1"/>
    </xf>
    <xf numFmtId="4" fontId="0" fillId="0" borderId="1" pivotButton="0" quotePrefix="0" xfId="0"/>
    <xf numFmtId="0" fontId="0" fillId="3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70" customWidth="1" min="1" max="1"/>
    <col width="56" customWidth="1" min="2" max="2"/>
    <col width="59" customWidth="1" min="3" max="3"/>
  </cols>
  <sheetData>
    <row r="1">
      <c r="A1" s="1" t="inlineStr">
        <is>
          <t>Ashcroft Foods — Claim Coverage Opinion</t>
        </is>
      </c>
    </row>
    <row r="2">
      <c r="A2" t="inlineStr">
        <is>
          <t>Claim CLM-CP-2025-8841 | Policy CP-OH-448291 | Loss 2025-11-18 | Eval 2025-12-05</t>
        </is>
      </c>
    </row>
    <row r="3">
      <c r="A3" t="inlineStr">
        <is>
          <t>Committee target 2025-12-12</t>
        </is>
      </c>
    </row>
    <row r="4"/>
    <row r="5">
      <c r="A5" s="2" t="inlineStr">
        <is>
          <t>Governing source hierarchy</t>
        </is>
      </c>
    </row>
    <row r="6" ht="48" customHeight="1">
      <c r="A6" s="3" t="inlineStr">
        <is>
          <t>(1) coverage_investigation_memo.txt rules; (2) Active rows on ashcroft-foods_policy_schedule.csv; (3) contemporaneous ashcroft-foods_claim_file.xlsx evidence; (4) superseded schedule rows and superseded field notes (N-01) non-governing.</t>
        </is>
      </c>
    </row>
    <row r="7"/>
    <row r="8">
      <c r="A8" s="4" t="inlineStr">
        <is>
          <t>Source</t>
        </is>
      </c>
      <c r="B8" s="4" t="inlineStr">
        <is>
          <t>Role</t>
        </is>
      </c>
      <c r="C8" s="4" t="inlineStr">
        <is>
          <t>Status class</t>
        </is>
      </c>
    </row>
    <row r="9">
      <c r="A9" s="5" t="inlineStr">
        <is>
          <t>ashcroft-foods_claim_file.xlsx</t>
        </is>
      </c>
      <c r="B9" s="5" t="inlineStr">
        <is>
          <t>Loss notice, inventory, equipment, BI, notes, payments</t>
        </is>
      </c>
      <c r="C9" s="5" t="inlineStr">
        <is>
          <t>Recorded facts + contemporaneous evidence</t>
        </is>
      </c>
    </row>
    <row r="10">
      <c r="A10" s="5" t="inlineStr">
        <is>
          <t>ashcroft-foods_policy_schedule.csv</t>
        </is>
      </c>
      <c r="B10" s="5" t="inlineStr">
        <is>
          <t>Coverages, deductibles, waiting periods, elections</t>
        </is>
      </c>
      <c r="C10" s="5" t="inlineStr">
        <is>
          <t>Potentially controlling (Active) / superseded</t>
        </is>
      </c>
    </row>
    <row r="11">
      <c r="A11" s="5" t="inlineStr">
        <is>
          <t>coverage_investigation_memo.txt</t>
        </is>
      </c>
      <c r="B11" s="5" t="inlineStr">
        <is>
          <t>Hierarchy and desk rules</t>
        </is>
      </c>
      <c r="C11" s="5" t="inlineStr">
        <is>
          <t>Potentially controlling rules — not finished dispositions</t>
        </is>
      </c>
    </row>
    <row r="12"/>
    <row r="13">
      <c r="A13" s="2" t="inlineStr">
        <is>
          <t>Fact classification legend</t>
        </is>
      </c>
    </row>
    <row r="14" ht="36" customHeight="1">
      <c r="A14" s="3" t="inlineStr">
        <is>
          <t>Recorded = present in a source. Potentially controlling = may govern if hierarchy selects it. Superseded = present but non-governing. Derived = computed by applying rules to selected facts.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21" customWidth="1" min="8" max="8"/>
    <col width="36" customWidth="1" min="9" max="9"/>
  </cols>
  <sheetData>
    <row r="1">
      <c r="A1" s="1" t="inlineStr">
        <is>
          <t>Stage 1 — Coverage decision tree (before indemnity math)</t>
        </is>
      </c>
    </row>
    <row r="2"/>
    <row r="3">
      <c r="A3" s="4" t="inlineStr">
        <is>
          <t>Issue</t>
        </is>
      </c>
      <c r="B3" s="4" t="inlineStr">
        <is>
          <t>1 Raw fact identification</t>
        </is>
      </c>
      <c r="C3" s="4" t="inlineStr">
        <is>
          <t>2 Potentially controlling provision</t>
        </is>
      </c>
      <c r="D3" s="4" t="inlineStr">
        <is>
          <t>3 Competing source/evidence</t>
        </is>
      </c>
      <c r="E3" s="4" t="inlineStr">
        <is>
          <t>4 Source hierarchy decision</t>
        </is>
      </c>
      <c r="F3" s="4" t="inlineStr">
        <is>
          <t>5 Rule test</t>
        </is>
      </c>
      <c r="G3" s="4" t="inlineStr">
        <is>
          <t>6 Intermediate result</t>
        </is>
      </c>
      <c r="H3" s="4" t="inlineStr">
        <is>
          <t>7 Final disposition</t>
        </is>
      </c>
      <c r="I3" s="4" t="inlineStr">
        <is>
          <t>8 Financial consequence</t>
        </is>
      </c>
    </row>
    <row r="4" ht="72" customHeight="1">
      <c r="A4" s="6" t="inlineStr">
        <is>
          <t>Zone B spoiled stock</t>
        </is>
      </c>
      <c r="B4" s="6" t="inlineStr">
        <is>
          <t>Compressor #3 failure; ~14h elevated Zone B temps; Open/Open-Salvage stock lots on Inventory (ashcroft-foods_claim_file.xlsx)</t>
        </is>
      </c>
      <c r="C4" s="6" t="inlineStr">
        <is>
          <t>CP 04 40 Spoilage Active on ashcroft-foods_policy_schedule.csv; stock definition + maintenance coinsurance rule in coverage_investigation_memo.txt</t>
        </is>
      </c>
      <c r="D4" s="6" t="inlineStr">
        <is>
          <t>Claimant selling-price demand / N-01 provisional pay note vs memo valuation + Active schedule</t>
        </is>
      </c>
      <c r="E4" s="6" t="inlineStr">
        <is>
          <t>coverage_investigation_memo.txt &gt; Active schedule &gt; contemporaneous claim evidence &gt; N-01</t>
        </is>
      </c>
      <c r="F4" s="6" t="inlineStr">
        <is>
          <t>On-prem refrigeration breakdown caused temperature change to qualifying stock; maintenance coinsurance tested separately on Maintenance Timeline</t>
        </is>
      </c>
      <c r="G4" s="6" t="inlineStr">
        <is>
          <t>Stock trigger met; valuation and coinsurance adjustments still required</t>
        </is>
      </c>
      <c r="H4" s="6" t="inlineStr">
        <is>
          <t>Accept — Partial</t>
        </is>
      </c>
      <c r="I4" s="6" t="inlineStr">
        <is>
          <t>Indemnity case reserve on cleaned invoice stock after salvage, coinsurance, Active deductible (see Reserve Bridge)</t>
        </is>
      </c>
    </row>
    <row r="5" ht="72" customHeight="1">
      <c r="A5" s="6" t="inlineStr">
        <is>
          <t>Compressor #3 / refrigeration equipment</t>
        </is>
      </c>
      <c r="B5" s="6" t="inlineStr">
        <is>
          <t>EQ-01..EQ-05 quotes; prior EQ-SUB 84,517.60; N-09 footing correction (ashcroft-foods_claim_file.xlsx)</t>
        </is>
      </c>
      <c r="C5" s="6" t="inlineStr">
        <is>
          <t>Mechanical Breakdown exclusion + no equipment floater (ashcroft-foods_policy_schedule.csv); equipment rule in coverage_investigation_memo.txt</t>
        </is>
      </c>
      <c r="D5" s="6" t="inlineStr">
        <is>
          <t>N-01 provisional full equipment recognition vs exclusion + absence of floater</t>
        </is>
      </c>
      <c r="E5" s="6" t="inlineStr">
        <is>
          <t>coverage_investigation_memo.txt / Active exclusion over N-01 advocacy</t>
        </is>
      </c>
      <c r="F5" s="6" t="inlineStr">
        <is>
          <t>Direct repair/replacement of failed equipment barred; stock endorsement does not create equipment indemnity</t>
        </is>
      </c>
      <c r="G5" s="6" t="inlineStr">
        <is>
          <t>Corrected footing 82,517.60 is demand documentation only</t>
        </is>
      </c>
      <c r="H5" s="6" t="inlineStr">
        <is>
          <t>Deny</t>
        </is>
      </c>
      <c r="I5" s="6" t="inlineStr">
        <is>
          <t>No indemnity reserve for footed equipment demand 82,517.60</t>
        </is>
      </c>
    </row>
    <row r="6" ht="72" customHeight="1">
      <c r="A6" s="6" t="inlineStr">
        <is>
          <t>Business Income / Extra Expense</t>
        </is>
      </c>
      <c r="B6" s="6" t="inlineStr">
        <is>
          <t>Logger outage ~14h; insured multi-day BI worksheet claim 67,240.00 (ashcroft-foods_claim_file.xlsx)</t>
        </is>
      </c>
      <c r="C6" s="6" t="inlineStr">
        <is>
          <t>CP 00 30 waiting period 72h Active (ashcroft-foods_policy_schedule.csv); BI rule in coverage_investigation_memo.txt</t>
        </is>
      </c>
      <c r="D6" s="6" t="inlineStr">
        <is>
          <t>Broker waiver / reallocation-day demand vs logger hours + schedule waiting period</t>
        </is>
      </c>
      <c r="E6" s="6" t="inlineStr">
        <is>
          <t>coverage_investigation_memo.txt waiting-period rule + Active schedule over broker advocacy</t>
        </is>
      </c>
      <c r="F6" s="6" t="inlineStr">
        <is>
          <t>Compare interruption hours to waiting period: 14 vs 72</t>
        </is>
      </c>
      <c r="G6" s="6" t="inlineStr">
        <is>
          <t>Waiting period not satisfied</t>
        </is>
      </c>
      <c r="H6" s="6" t="inlineStr">
        <is>
          <t>Deny</t>
        </is>
      </c>
      <c r="I6" s="6" t="inlineStr">
        <is>
          <t>No BI case reserve for claimed 67,240.00</t>
        </is>
      </c>
    </row>
    <row r="7" ht="72" customHeight="1">
      <c r="A7" s="6" t="inlineStr">
        <is>
          <t>Packaging / non-stock (PKG-991)</t>
        </is>
      </c>
      <c r="B7" s="6" t="inlineStr">
        <is>
          <t>PKG-991 corrugated freezer cartons 11,418.00 listed on Inventory (ashcroft-foods_claim_file.xlsx)</t>
        </is>
      </c>
      <c r="C7" s="6" t="inlineStr">
        <is>
          <t>Stock definition in coverage_investigation_memo.txt (packaging/dunnage not stock under CP 04 40 desk practice)</t>
        </is>
      </c>
      <c r="D7" s="6" t="inlineStr">
        <is>
          <t>Claimant inclusion of packaging in spoilage demand vs memo stock definition</t>
        </is>
      </c>
      <c r="E7" s="6" t="inlineStr">
        <is>
          <t>coverage_investigation_memo.txt stock definition governs</t>
        </is>
      </c>
      <c r="F7" s="6" t="inlineStr">
        <is>
          <t>Packaging materials are not perishable frozen food product held for sale/distribution</t>
        </is>
      </c>
      <c r="G7" s="6" t="inlineStr">
        <is>
          <t>PKG-991 ineligible for spoilage stock pool</t>
        </is>
      </c>
      <c r="H7" s="6" t="inlineStr">
        <is>
          <t>Deny / Exclude</t>
        </is>
      </c>
      <c r="I7" s="6" t="inlineStr">
        <is>
          <t>Exclude packaging invoice cost from covered stock pool</t>
        </is>
      </c>
    </row>
    <row r="8"/>
    <row r="9">
      <c r="A9" s="4" t="inlineStr">
        <is>
          <t>Overall coverage determination (derived — not copied from a field note)</t>
        </is>
      </c>
      <c r="B9" s="4" t="inlineStr">
        <is>
          <t>Partial Coverage</t>
        </is>
      </c>
      <c r="C9" s="7" t="inlineStr">
        <is>
          <t>Stock Accept/Partial; equipment Deny; BI Deny; packaging Deny/Exclude</t>
        </is>
      </c>
    </row>
    <row r="10"/>
    <row r="11">
      <c r="A11" t="inlineStr">
        <is>
          <t>Stage gate</t>
        </is>
      </c>
      <c r="B11" s="3" t="inlineStr">
        <is>
          <t>Stage 2 financial build proceeds only for Accept/Partial stock indemnity; equipment and BI remain at zero indemnity under actual conclusions (see Scenario Checks for counterfactuals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Competing-evidence matrix — recorded vs controlling vs superseded vs derived</t>
        </is>
      </c>
    </row>
    <row r="2"/>
    <row r="3">
      <c r="A3" s="4" t="inlineStr">
        <is>
          <t>Issue</t>
        </is>
      </c>
      <c r="B3" s="4" t="inlineStr">
        <is>
          <t>Candidate source</t>
        </is>
      </c>
      <c r="C3" s="4" t="inlineStr">
        <is>
          <t>Source status</t>
        </is>
      </c>
      <c r="D3" s="4" t="inlineStr">
        <is>
          <t>Candidate fact/rule</t>
        </is>
      </c>
      <c r="E3" s="4" t="inlineStr">
        <is>
          <t>Conflict or ambiguity</t>
        </is>
      </c>
      <c r="F3" s="4" t="inlineStr">
        <is>
          <t>Governing source</t>
        </is>
      </c>
      <c r="G3" s="4" t="inlineStr">
        <is>
          <t>Reason selected</t>
        </is>
      </c>
      <c r="H3" s="4" t="inlineStr">
        <is>
          <t>Downstream calculation affected</t>
        </is>
      </c>
    </row>
    <row r="4" ht="48" customHeight="1">
      <c r="A4" s="6" t="inlineStr">
        <is>
          <t>A. Stock valuation basis</t>
        </is>
      </c>
      <c r="B4" s="6" t="inlineStr">
        <is>
          <t>ashcroft-foods_claim_file.xlsx N-01 + selling-price demand columns</t>
        </is>
      </c>
      <c r="C4" s="6" t="inlineStr">
        <is>
          <t>Superseded / advocacy</t>
        </is>
      </c>
      <c r="D4" s="6" t="inlineStr">
        <is>
          <t>Pay/value at unit_selling_price</t>
        </is>
      </c>
      <c r="E4" s="6" t="inlineStr">
        <is>
          <t>Conflicts with schedule election and memo valuation rule</t>
        </is>
      </c>
      <c r="F4" s="6" t="inlineStr">
        <is>
          <t>coverage_investigation_memo.txt + ashcroft-foods_policy_schedule.csv PS-09/PS-24</t>
        </is>
      </c>
      <c r="G4" s="6" t="inlineStr">
        <is>
          <t>Selling-price rider not elected; memo requires invoice/replacement cost</t>
        </is>
      </c>
      <c r="H4" s="6" t="inlineStr">
        <is>
          <t>Valuation Reconciliation covered amount; Reserve Bridge eligible stock</t>
        </is>
      </c>
    </row>
    <row r="5" ht="48" customHeight="1">
      <c r="A5" s="6" t="inlineStr">
        <is>
          <t>A. Stock valuation basis</t>
        </is>
      </c>
      <c r="B5" s="6" t="inlineStr">
        <is>
          <t>ashcroft-foods_policy_schedule.csv PS-09 / PS-24; coverage_investigation_memo.txt valuation rule</t>
        </is>
      </c>
      <c r="C5" s="6" t="inlineStr">
        <is>
          <t>Potentially controlling</t>
        </is>
      </c>
      <c r="D5" s="6" t="inlineStr">
        <is>
          <t>Invoice / replacement cost (line_cost) when selling price not elected</t>
        </is>
      </c>
      <c r="E5" s="6" t="inlineStr">
        <is>
          <t>Competes with N-01 selling-price recommendation</t>
        </is>
      </c>
      <c r="F5" s="6" t="inlineStr">
        <is>
          <t>coverage_investigation_memo.txt / Active schedule</t>
        </is>
      </c>
      <c r="G5" s="6" t="inlineStr">
        <is>
          <t>Hierarchy selects memo + Active election status over stale field note</t>
        </is>
      </c>
      <c r="H5" s="6" t="inlineStr">
        <is>
          <t>Inventory Audit Trail valuation basis; Reserve Bridge</t>
        </is>
      </c>
    </row>
    <row r="6" ht="48" customHeight="1">
      <c r="A6" s="6" t="inlineStr">
        <is>
          <t>B. Spoilage deductible</t>
        </is>
      </c>
      <c r="B6" s="6" t="inlineStr">
        <is>
          <t>ashcroft-foods_policy_schedule.csv PS-04 + broker note N-06</t>
        </is>
      </c>
      <c r="C6" s="6" t="inlineStr">
        <is>
          <t>Superseded</t>
        </is>
      </c>
      <c r="D6" s="6" t="inlineStr">
        <is>
          <t>Deductible 10,000</t>
        </is>
      </c>
      <c r="E6" s="6" t="inlineStr">
        <is>
          <t>Two deductible amounts appear on schedule with different status</t>
        </is>
      </c>
      <c r="F6" s="6" t="inlineStr">
        <is>
          <t>coverage_investigation_memo.txt deductible hierarchy + Active PS-03/PS-17</t>
        </is>
      </c>
      <c r="G6" s="6" t="inlineStr">
        <is>
          <t>Only Active status governs; Superseded mid-term row is non-governing</t>
        </is>
      </c>
      <c r="H6" s="6" t="inlineStr">
        <is>
          <t>Reserve Bridge deductible step; Scenario Checks S1 counterfactual</t>
        </is>
      </c>
    </row>
    <row r="7" ht="48" customHeight="1">
      <c r="A7" s="6" t="inlineStr">
        <is>
          <t>B. Spoilage deductible</t>
        </is>
      </c>
      <c r="B7" s="6" t="inlineStr">
        <is>
          <t>ashcroft-foods_policy_schedule.csv PS-03 / PS-17 Active</t>
        </is>
      </c>
      <c r="C7" s="6" t="inlineStr">
        <is>
          <t>Potentially controlling</t>
        </is>
      </c>
      <c r="D7" s="6" t="inlineStr">
        <is>
          <t>Deductible 5,000</t>
        </is>
      </c>
      <c r="E7" s="6" t="inlineStr">
        <is>
          <t>Competes with Superseded PS-04</t>
        </is>
      </c>
      <c r="F7" s="6" t="inlineStr">
        <is>
          <t>coverage_investigation_memo.txt + Active schedule status</t>
        </is>
      </c>
      <c r="G7" s="6" t="inlineStr">
        <is>
          <t>Active endorsement deductible applies after salvage and coinsurance</t>
        </is>
      </c>
      <c r="H7" s="6" t="inlineStr">
        <is>
          <t>Actual indemnity case reserve</t>
        </is>
      </c>
    </row>
    <row r="8" ht="48" customHeight="1">
      <c r="A8" s="6" t="inlineStr">
        <is>
          <t>C. Equipment demand footing</t>
        </is>
      </c>
      <c r="B8" s="6" t="inlineStr">
        <is>
          <t>ashcroft-foods_claim_file.xlsx prior EQ-SUB worksheet</t>
        </is>
      </c>
      <c r="C8" s="6" t="inlineStr">
        <is>
          <t>Recorded (non-governing figure)</t>
        </is>
      </c>
      <c r="D8" s="6" t="inlineStr">
        <is>
          <t>Prior subtotal 84,517.60</t>
        </is>
      </c>
      <c r="E8" s="6" t="inlineStr">
        <is>
          <t>Variance 2,000.00 vs component quotes</t>
        </is>
      </c>
      <c r="F8" s="6" t="inlineStr">
        <is>
          <t>ashcroft-foods_claim_file.xlsx EQ-01..EQ-05 + N-09</t>
        </is>
      </c>
      <c r="G8" s="6" t="inlineStr">
        <is>
          <t>N-09 identifies worksheet addition error; component sum is source-of-truth footing</t>
        </is>
      </c>
      <c r="H8" s="6" t="inlineStr">
        <is>
          <t>Denied Items equipment block; Decision Trace equipment impact = 0</t>
        </is>
      </c>
    </row>
    <row r="9" ht="48" customHeight="1">
      <c r="A9" s="6" t="inlineStr">
        <is>
          <t>C. Equipment demand footing</t>
        </is>
      </c>
      <c r="B9" s="6" t="inlineStr">
        <is>
          <t>ashcroft-foods_claim_file.xlsx EQ-01..EQ-05 component quotes</t>
        </is>
      </c>
      <c r="C9" s="6" t="inlineStr">
        <is>
          <t>Recorded / derived footing</t>
        </is>
      </c>
      <c r="D9" s="6" t="inlineStr">
        <is>
          <t>Component sum 82,517.60</t>
        </is>
      </c>
      <c r="E9" s="6" t="inlineStr">
        <is>
          <t>Competes with prior EQ-SUB</t>
        </is>
      </c>
      <c r="F9" s="6" t="inlineStr">
        <is>
          <t>ashcroft-foods_claim_file.xlsx N-09 desk footing</t>
        </is>
      </c>
      <c r="G9" s="6" t="inlineStr">
        <is>
          <t>Corrected EQ-SUB equals component sum</t>
        </is>
      </c>
      <c r="H9" s="6" t="inlineStr">
        <is>
          <t>Equipment corrected footing documented; still denied under Mechanical Breakdown</t>
        </is>
      </c>
    </row>
    <row r="10" ht="48" customHeight="1">
      <c r="A10" s="6" t="inlineStr">
        <is>
          <t>C. Equipment indemnity treatment</t>
        </is>
      </c>
      <c r="B10" s="6" t="inlineStr">
        <is>
          <t>ashcroft-foods_claim_file.xlsx N-01 provisional equipment recognition</t>
        </is>
      </c>
      <c r="C10" s="6" t="inlineStr">
        <is>
          <t>Superseded field note</t>
        </is>
      </c>
      <c r="D10" s="6" t="inlineStr">
        <is>
          <t>Recognize full equipment repair</t>
        </is>
      </c>
      <c r="E10" s="6" t="inlineStr">
        <is>
          <t>Conflicts with Mechanical Breakdown exclusion and no floater</t>
        </is>
      </c>
      <c r="F10" s="6" t="inlineStr">
        <is>
          <t>coverage_investigation_memo.txt equipment rule + ashcroft-foods_policy_schedule.csv PS-05</t>
        </is>
      </c>
      <c r="G10" s="6" t="inlineStr">
        <is>
          <t>Exclusion bars direct equipment repair; stock endorsement does not create equipment cover</t>
        </is>
      </c>
      <c r="H10" s="6" t="inlineStr">
        <is>
          <t>Coverage Decision Tree Deny; Scenario Checks S4 counterfactual only</t>
        </is>
      </c>
    </row>
    <row r="11" ht="48" customHeight="1">
      <c r="A11" s="6" t="inlineStr">
        <is>
          <t>BI waiting period</t>
        </is>
      </c>
      <c r="B11" s="6" t="inlineStr">
        <is>
          <t>ashcroft-foods_claim_file.xlsx insured multi-day BI worksheet / broker waiver ask</t>
        </is>
      </c>
      <c r="C11" s="6" t="inlineStr">
        <is>
          <t>Advocacy / recorded demand</t>
        </is>
      </c>
      <c r="D11" s="6" t="inlineStr">
        <is>
          <t>Reserve BI for reallocation days</t>
        </is>
      </c>
      <c r="E11" s="6" t="inlineStr">
        <is>
          <t>Waiting period measured on logger interruption, not post-restore days</t>
        </is>
      </c>
      <c r="F11" s="6" t="inlineStr">
        <is>
          <t>coverage_investigation_memo.txt BI rule + ashcroft-foods_policy_schedule.csv PS-06</t>
        </is>
      </c>
      <c r="G11" s="6" t="inlineStr">
        <is>
          <t>Compare 14h logger outage to 72h Active waiting period</t>
        </is>
      </c>
      <c r="H11" s="6" t="inlineStr">
        <is>
          <t>BI Deny; zero BI indemnity</t>
        </is>
      </c>
    </row>
    <row r="12" ht="48" customHeight="1">
      <c r="A12" s="6" t="inlineStr">
        <is>
          <t>Maintenance coinsurance</t>
        </is>
      </c>
      <c r="B12" s="6" t="inlineStr">
        <is>
          <t>ashcroft-foods_claim_file.xlsx N-02 OEM interval + service/cancel dates</t>
        </is>
      </c>
      <c r="C12" s="6" t="inlineStr">
        <is>
          <t>Recorded facts (interval/dates) + derived tests</t>
        </is>
      </c>
      <c r="D12" s="6" t="inlineStr">
        <is>
          <t>OEM 90d; last service 2025-08-12; vendor cancel 2025-11-10</t>
        </is>
      </c>
      <c r="E12" s="6" t="inlineStr">
        <is>
          <t>Must apply memo grace/safe-harbor tests — dates alone are not the pay factor</t>
        </is>
      </c>
      <c r="F12" s="6" t="inlineStr">
        <is>
          <t>coverage_investigation_memo.txt delayed-maintenance rule applied to N-02 facts</t>
        </is>
      </c>
      <c r="G12" s="6" t="inlineStr">
        <is>
          <t>Elapsed days and vendor-cancel window derived on Maintenance Timeline</t>
        </is>
      </c>
      <c r="H12" s="6" t="inlineStr">
        <is>
          <t>Coinsurance factor into Reserve Bridge; OEM sensitivity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30" customWidth="1" min="3" max="3"/>
    <col width="48" customWidth="1" min="4" max="4"/>
    <col width="40" customWidth="1" min="5" max="5"/>
    <col width="48" customWidth="1" min="6" max="6"/>
    <col width="38" customWidth="1" min="7" max="7"/>
    <col width="48" customWidth="1" min="8" max="8"/>
  </cols>
  <sheetData>
    <row r="1">
      <c r="A1" s="1" t="inlineStr">
        <is>
          <t>Delayed-maintenance / protective-safeguards timeline (derived)</t>
        </is>
      </c>
    </row>
    <row r="2"/>
    <row r="3">
      <c r="A3" s="4" t="inlineStr">
        <is>
          <t>Metric</t>
        </is>
      </c>
      <c r="B3" s="4" t="inlineStr">
        <is>
          <t>Value</t>
        </is>
      </c>
      <c r="C3" s="4" t="inlineStr">
        <is>
          <t>Classification</t>
        </is>
      </c>
      <c r="D3" s="4" t="inlineStr">
        <is>
          <t>Source / formula</t>
        </is>
      </c>
    </row>
    <row r="4">
      <c r="A4" s="5" t="inlineStr">
        <is>
          <t>Last completed OEM service date</t>
        </is>
      </c>
      <c r="B4" s="5" t="inlineStr">
        <is>
          <t>2025-08-12</t>
        </is>
      </c>
      <c r="C4" s="5" t="inlineStr">
        <is>
          <t>Recorded</t>
        </is>
      </c>
      <c r="D4" s="5" t="inlineStr">
        <is>
          <t>ashcroft-foods_claim_file.xlsx N-02</t>
        </is>
      </c>
    </row>
    <row r="5">
      <c r="A5" s="5" t="inlineStr">
        <is>
          <t>Date of loss</t>
        </is>
      </c>
      <c r="B5" s="5" t="inlineStr">
        <is>
          <t>2025-11-18</t>
        </is>
      </c>
      <c r="C5" s="5" t="inlineStr">
        <is>
          <t>Recorded</t>
        </is>
      </c>
      <c r="D5" s="5" t="inlineStr">
        <is>
          <t>ashcroft-foods_claim_file.xlsx Loss Notice</t>
        </is>
      </c>
    </row>
    <row r="6">
      <c r="A6" s="5" t="inlineStr">
        <is>
          <t>Raw elapsed days (loss − last service)</t>
        </is>
      </c>
      <c r="B6" s="5" t="n">
        <v>98</v>
      </c>
      <c r="C6" s="5" t="inlineStr">
        <is>
          <t>Derived</t>
        </is>
      </c>
      <c r="D6" s="5" t="inlineStr">
        <is>
          <t>2025-11-18 − 2025-08-12</t>
        </is>
      </c>
    </row>
    <row r="7">
      <c r="A7" s="5" t="inlineStr">
        <is>
          <t>OEM service interval (days)</t>
        </is>
      </c>
      <c r="B7" s="5" t="n">
        <v>90</v>
      </c>
      <c r="C7" s="5" t="inlineStr">
        <is>
          <t>Recorded</t>
        </is>
      </c>
      <c r="D7" s="5" t="inlineStr">
        <is>
          <t>ashcroft-foods_claim_file.xlsx N-02</t>
        </is>
      </c>
    </row>
    <row r="8">
      <c r="A8" s="5" t="inlineStr">
        <is>
          <t>Scheduling grace (days)</t>
        </is>
      </c>
      <c r="B8" s="5" t="n">
        <v>7</v>
      </c>
      <c r="C8" s="5" t="inlineStr">
        <is>
          <t>Potentially controlling rule</t>
        </is>
      </c>
      <c r="D8" s="5" t="inlineStr">
        <is>
          <t>coverage_investigation_memo.txt</t>
        </is>
      </c>
    </row>
    <row r="9">
      <c r="A9" s="5" t="inlineStr">
        <is>
          <t>Allowed interval (OEM + grace)</t>
        </is>
      </c>
      <c r="B9" t="n" s="5">
        <f>B7+B8</f>
        <v>97</v>
      </c>
      <c r="C9" s="5" t="inlineStr">
        <is>
          <t>Derived</t>
        </is>
      </c>
      <c r="D9" s="5" t="inlineStr">
        <is>
          <t>Formula</t>
        </is>
      </c>
    </row>
    <row r="10">
      <c r="A10" s="5" t="inlineStr">
        <is>
          <t>Overdue amount (elapsed − allowed)</t>
        </is>
      </c>
      <c r="B10" t="n" s="5">
        <f>B6-B9</f>
        <v>1</v>
      </c>
      <c r="C10" s="5" t="inlineStr">
        <is>
          <t>Derived</t>
        </is>
      </c>
      <c r="D10" s="5" t="inlineStr">
        <is>
          <t>Formula</t>
        </is>
      </c>
    </row>
    <row r="11">
      <c r="A11" s="5" t="inlineStr">
        <is>
          <t>Vendor cancellation date</t>
        </is>
      </c>
      <c r="B11" s="5" t="inlineStr">
        <is>
          <t>2025-11-10</t>
        </is>
      </c>
      <c r="C11" s="5" t="inlineStr">
        <is>
          <t>Recorded</t>
        </is>
      </c>
      <c r="D11" s="5" t="inlineStr">
        <is>
          <t>ashcroft-foods_claim_file.xlsx N-02</t>
        </is>
      </c>
    </row>
    <row r="12">
      <c r="A12" s="5" t="inlineStr">
        <is>
          <t>Days from cancellation to loss</t>
        </is>
      </c>
      <c r="B12" s="5" t="n">
        <v>8</v>
      </c>
      <c r="C12" s="5" t="inlineStr">
        <is>
          <t>Derived</t>
        </is>
      </c>
      <c r="D12" s="5" t="inlineStr">
        <is>
          <t>2025-11-18 − 2025-11-10</t>
        </is>
      </c>
    </row>
    <row r="13">
      <c r="A13" s="5" t="inlineStr">
        <is>
          <t>Vendor-cancel safe-harbor limit (days)</t>
        </is>
      </c>
      <c r="B13" s="5" t="n">
        <v>14</v>
      </c>
      <c r="C13" s="5" t="inlineStr">
        <is>
          <t>Potentially controlling rule</t>
        </is>
      </c>
      <c r="D13" s="5" t="inlineStr">
        <is>
          <t>coverage_investigation_memo.txt</t>
        </is>
      </c>
    </row>
    <row r="14">
      <c r="A14" s="5" t="inlineStr">
        <is>
          <t>Condition: service overdue beyond grace?</t>
        </is>
      </c>
      <c r="B14" t="str" s="5">
        <f>IF(B6&gt;B9,"Yes","No")</f>
        <v>Yes</v>
      </c>
      <c r="C14" s="5" t="inlineStr">
        <is>
          <t>Derived</t>
        </is>
      </c>
      <c r="D14" s="5" t="inlineStr">
        <is>
          <t>Elapsed &gt; allowed</t>
        </is>
      </c>
    </row>
    <row r="15">
      <c r="A15" s="5" t="inlineStr">
        <is>
          <t>Condition: vendor cancel within safe harbor?</t>
        </is>
      </c>
      <c r="B15" t="str" s="5">
        <f>IF(B12&lt;=B13,"Yes","No")</f>
        <v>Yes</v>
      </c>
      <c r="C15" s="5" t="inlineStr">
        <is>
          <t>Derived</t>
        </is>
      </c>
      <c r="D15" s="5" t="inlineStr">
        <is>
          <t>Days to loss ≤ 14</t>
        </is>
      </c>
    </row>
    <row r="16">
      <c r="A16" s="5" t="inlineStr">
        <is>
          <t>Resulting coinsurance pay factor (actual)</t>
        </is>
      </c>
      <c r="B16" t="n" s="5">
        <f>IF(AND(B14="Yes",B15="Yes"),0.75,1)</f>
        <v>0.75</v>
      </c>
      <c r="C16" s="5" t="inlineStr">
        <is>
          <t>Derived</t>
        </is>
      </c>
      <c r="D16" s="5" t="inlineStr">
        <is>
          <t>coverage_investigation_memo.txt: 75% when both conditions met; else 100%</t>
        </is>
      </c>
    </row>
    <row r="17"/>
    <row r="18">
      <c r="A18" s="8" t="inlineStr">
        <is>
          <t>OEM interval sensitivity (hypothetical assumptions — not source facts)</t>
        </is>
      </c>
    </row>
    <row r="19">
      <c r="A19" s="4" t="inlineStr">
        <is>
          <t>Assumption label</t>
        </is>
      </c>
      <c r="B19" s="4" t="inlineStr">
        <is>
          <t>OEM interval (days)</t>
        </is>
      </c>
      <c r="C19" s="4" t="inlineStr">
        <is>
          <t>Allowed interval</t>
        </is>
      </c>
      <c r="D19" s="4" t="inlineStr">
        <is>
          <t>Overdue?</t>
        </is>
      </c>
      <c r="E19" s="4" t="inlineStr">
        <is>
          <t>Pay factor</t>
        </is>
      </c>
      <c r="F19" s="4" t="inlineStr">
        <is>
          <t>Linked reserve (after salvage × factor − Active deductible)</t>
        </is>
      </c>
      <c r="G19" s="4" t="inlineStr">
        <is>
          <t>Changes coinsurance vs actual?</t>
        </is>
      </c>
      <c r="H19" s="4" t="inlineStr">
        <is>
          <t>Changes reserve vs actual?</t>
        </is>
      </c>
    </row>
    <row r="20">
      <c r="A20" s="5" t="inlineStr">
        <is>
          <t>Source-supported (N-02)</t>
        </is>
      </c>
      <c r="B20" t="n" s="5">
        <f>B7</f>
        <v>90</v>
      </c>
      <c r="C20" t="n" s="5">
        <f>$B$8+B20</f>
        <v>97</v>
      </c>
      <c r="D20" t="str" s="5">
        <f>IF($B$6&gt;C20,"Yes","No")</f>
        <v>Yes</v>
      </c>
      <c r="E20" t="n" s="5">
        <f>IF(AND(D20="Yes",$B$15="Yes"),0.75,1)</f>
        <v>0.75</v>
      </c>
      <c r="F20" t="n" s="9">
        <f>ROUND(241688.14*E20,2)-5000.0</f>
        <v>176266.11</v>
      </c>
      <c r="G20" t="str" s="5">
        <f>IF(ABS(E20-$B$16)&lt;0.001,"No","Yes")</f>
        <v>No</v>
      </c>
      <c r="H20" t="str" s="5">
        <f>IF(ABS(F20-'Reserve Bridge'!C14)&lt;0.01,"No","Yes")</f>
        <v>No</v>
      </c>
    </row>
    <row r="21">
      <c r="A21" s="10" t="inlineStr">
        <is>
          <t>Hypothetical — shorter OEM interval</t>
        </is>
      </c>
      <c r="B21" s="10" t="n">
        <v>80</v>
      </c>
      <c r="C21" t="n" s="10">
        <f>$B$8+B21</f>
        <v>87</v>
      </c>
      <c r="D21" t="str" s="10">
        <f>IF($B$6&gt;C21,"Yes","No")</f>
        <v>Yes</v>
      </c>
      <c r="E21" t="n" s="10">
        <f>IF(AND(D21="Yes",$B$15="Yes"),0.75,1)</f>
        <v>0.75</v>
      </c>
      <c r="F21" t="n" s="11">
        <f>ROUND(241688.14*E21,2)-5000.0</f>
        <v>176266.11</v>
      </c>
      <c r="G21" t="str" s="10">
        <f>IF(ABS(E21-$B$16)&lt;0.001,"No","Yes")</f>
        <v>No</v>
      </c>
      <c r="H21" t="str" s="10">
        <f>IF(ABS(F21-'Reserve Bridge'!C14)&lt;0.01,"No","Yes")</f>
        <v>No</v>
      </c>
    </row>
    <row r="22">
      <c r="A22" s="10" t="inlineStr">
        <is>
          <t>Hypothetical — longer OEM interval</t>
        </is>
      </c>
      <c r="B22" s="10" t="n">
        <v>100</v>
      </c>
      <c r="C22" t="n" s="10">
        <f>$B$8+B22</f>
        <v>107</v>
      </c>
      <c r="D22" t="str" s="10">
        <f>IF($B$6&gt;C22,"Yes","No")</f>
        <v>No</v>
      </c>
      <c r="E22" t="n" s="10">
        <f>IF(AND(D22="Yes",$B$15="Yes"),0.75,1)</f>
        <v>1</v>
      </c>
      <c r="F22" t="n" s="11">
        <f>ROUND(241688.14*E22,2)-5000.0</f>
        <v>236688.14</v>
      </c>
      <c r="G22" t="str" s="10">
        <f>IF(ABS(E22-$B$16)&lt;0.001,"No","Yes")</f>
        <v>Yes</v>
      </c>
      <c r="H22" t="str" s="10">
        <f>IF(ABS(F22-'Reserve Bridge'!C14)&lt;0.01,"No","Yes")</f>
        <v>Yes</v>
      </c>
    </row>
    <row r="23"/>
    <row r="24">
      <c r="A24" s="3" t="inlineStr">
        <is>
          <t>Note: yellow rows are counterfactual sensitivity only. Actual coinsurance uses row 16 / source OEM interval from N-02.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2" customWidth="1" min="3" max="3"/>
    <col width="14" customWidth="1" min="4" max="4"/>
    <col width="21" customWidth="1" min="5" max="5"/>
    <col width="27" customWidth="1" min="6" max="6"/>
    <col width="25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Per-lot status pipeline (formula-linked eligible amounts)</t>
        </is>
      </c>
    </row>
    <row r="2"/>
    <row r="3">
      <c r="A3" s="4" t="inlineStr">
        <is>
          <t>source_lot_id</t>
        </is>
      </c>
      <c r="B3" s="4" t="inlineStr">
        <is>
          <t>zone</t>
        </is>
      </c>
      <c r="C3" s="4" t="inlineStr">
        <is>
          <t>raw_amount</t>
        </is>
      </c>
      <c r="D3" s="4" t="inlineStr">
        <is>
          <t>status</t>
        </is>
      </c>
      <c r="E3" s="4" t="inlineStr">
        <is>
          <t>duplicate_VOID_flag</t>
        </is>
      </c>
      <c r="F3" s="4" t="inlineStr">
        <is>
          <t>stock_nonstock_class</t>
        </is>
      </c>
      <c r="G3" s="4" t="inlineStr">
        <is>
          <t>coverage_treatment</t>
        </is>
      </c>
      <c r="H3" s="4" t="inlineStr">
        <is>
          <t>eligible_amount</t>
        </is>
      </c>
      <c r="I3" s="4" t="inlineStr">
        <is>
          <t>exclusion_reason</t>
        </is>
      </c>
      <c r="J3" s="4" t="inlineStr">
        <is>
          <t>valuation_basis</t>
        </is>
      </c>
    </row>
    <row r="4">
      <c r="A4" s="5" t="inlineStr">
        <is>
          <t>LOT-B-201</t>
        </is>
      </c>
      <c r="B4" s="5" t="inlineStr">
        <is>
          <t>Zone B</t>
        </is>
      </c>
      <c r="C4" s="9" t="n">
        <v>48216.3</v>
      </c>
      <c r="D4" s="5" t="inlineStr">
        <is>
          <t>Open</t>
        </is>
      </c>
      <c r="E4" s="5" t="inlineStr">
        <is>
          <t>None</t>
        </is>
      </c>
      <c r="F4" s="5" t="inlineStr">
        <is>
          <t>Stock</t>
        </is>
      </c>
      <c r="G4" s="5" t="inlineStr">
        <is>
          <t>Include — covered stock</t>
        </is>
      </c>
      <c r="H4" t="n" s="9">
        <f>IF(G4="Include — covered stock",C4,0)</f>
        <v>48216.3</v>
      </c>
      <c r="I4" s="5" t="inlineStr"/>
      <c r="J4" s="5" t="inlineStr">
        <is>
          <t>Invoice / replacement cost (line_cost)</t>
        </is>
      </c>
    </row>
    <row r="5">
      <c r="A5" s="5" t="inlineStr">
        <is>
          <t>LOT-B-218</t>
        </is>
      </c>
      <c r="B5" s="5" t="inlineStr">
        <is>
          <t>Zone B</t>
        </is>
      </c>
      <c r="C5" s="9" t="n">
        <v>61342.72</v>
      </c>
      <c r="D5" s="5" t="inlineStr">
        <is>
          <t>Open</t>
        </is>
      </c>
      <c r="E5" s="5" t="inlineStr">
        <is>
          <t>None</t>
        </is>
      </c>
      <c r="F5" s="5" t="inlineStr">
        <is>
          <t>Stock</t>
        </is>
      </c>
      <c r="G5" s="5" t="inlineStr">
        <is>
          <t>Include — covered stock</t>
        </is>
      </c>
      <c r="H5" t="n" s="9">
        <f>IF(G5="Include — covered stock",C5,0)</f>
        <v>61342.72</v>
      </c>
      <c r="I5" s="5" t="inlineStr"/>
      <c r="J5" s="5" t="inlineStr">
        <is>
          <t>Invoice / replacement cost (line_cost)</t>
        </is>
      </c>
    </row>
    <row r="6">
      <c r="A6" s="5" t="inlineStr">
        <is>
          <t>LOT-B-230</t>
        </is>
      </c>
      <c r="B6" s="5" t="inlineStr">
        <is>
          <t>Zone B</t>
        </is>
      </c>
      <c r="C6" s="9" t="n">
        <v>39112.36</v>
      </c>
      <c r="D6" s="5" t="inlineStr">
        <is>
          <t>Open</t>
        </is>
      </c>
      <c r="E6" s="5" t="inlineStr">
        <is>
          <t>None</t>
        </is>
      </c>
      <c r="F6" s="5" t="inlineStr">
        <is>
          <t>Stock</t>
        </is>
      </c>
      <c r="G6" s="5" t="inlineStr">
        <is>
          <t>Include — covered stock</t>
        </is>
      </c>
      <c r="H6" t="n" s="9">
        <f>IF(G6="Include — covered stock",C6,0)</f>
        <v>39112.36</v>
      </c>
      <c r="I6" s="5" t="inlineStr"/>
      <c r="J6" s="5" t="inlineStr">
        <is>
          <t>Invoice / replacement cost (line_cost)</t>
        </is>
      </c>
    </row>
    <row r="7">
      <c r="A7" s="5" t="inlineStr">
        <is>
          <t>LOT-B-441</t>
        </is>
      </c>
      <c r="B7" s="5" t="inlineStr">
        <is>
          <t>Zone B</t>
        </is>
      </c>
      <c r="C7" s="9" t="n">
        <v>42099.4</v>
      </c>
      <c r="D7" s="5" t="inlineStr">
        <is>
          <t>Open-Salvage</t>
        </is>
      </c>
      <c r="E7" s="5" t="inlineStr">
        <is>
          <t>None</t>
        </is>
      </c>
      <c r="F7" s="5" t="inlineStr">
        <is>
          <t>Stock</t>
        </is>
      </c>
      <c r="G7" s="5" t="inlineStr">
        <is>
          <t>Include — covered stock</t>
        </is>
      </c>
      <c r="H7" t="n" s="9">
        <f>IF(G7="Include — covered stock",C7,0)</f>
        <v>42099.4</v>
      </c>
      <c r="I7" s="5" t="inlineStr"/>
      <c r="J7" s="5" t="inlineStr">
        <is>
          <t>Invoice / replacement cost (line_cost)</t>
        </is>
      </c>
    </row>
    <row r="8">
      <c r="A8" s="5" t="inlineStr">
        <is>
          <t>LOT-B-256</t>
        </is>
      </c>
      <c r="B8" s="5" t="inlineStr">
        <is>
          <t>Zone B</t>
        </is>
      </c>
      <c r="C8" s="9" t="n">
        <v>38917.92</v>
      </c>
      <c r="D8" s="5" t="inlineStr">
        <is>
          <t>Open</t>
        </is>
      </c>
      <c r="E8" s="5" t="inlineStr">
        <is>
          <t>None</t>
        </is>
      </c>
      <c r="F8" s="5" t="inlineStr">
        <is>
          <t>Stock</t>
        </is>
      </c>
      <c r="G8" s="5" t="inlineStr">
        <is>
          <t>Include — covered stock</t>
        </is>
      </c>
      <c r="H8" t="n" s="9">
        <f>IF(G8="Include — covered stock",C8,0)</f>
        <v>38917.92</v>
      </c>
      <c r="I8" s="5" t="inlineStr"/>
      <c r="J8" s="5" t="inlineStr">
        <is>
          <t>Invoice / replacement cost (line_cost)</t>
        </is>
      </c>
    </row>
    <row r="9">
      <c r="A9" s="5" t="inlineStr">
        <is>
          <t>LOT-B-271</t>
        </is>
      </c>
      <c r="B9" s="5" t="inlineStr">
        <is>
          <t>Zone B</t>
        </is>
      </c>
      <c r="C9" s="9" t="n">
        <v>24629.26</v>
      </c>
      <c r="D9" s="5" t="inlineStr">
        <is>
          <t>Open</t>
        </is>
      </c>
      <c r="E9" s="5" t="inlineStr">
        <is>
          <t>None</t>
        </is>
      </c>
      <c r="F9" s="5" t="inlineStr">
        <is>
          <t>Stock</t>
        </is>
      </c>
      <c r="G9" s="5" t="inlineStr">
        <is>
          <t>Include — covered stock</t>
        </is>
      </c>
      <c r="H9" t="n" s="9">
        <f>IF(G9="Include — covered stock",C9,0)</f>
        <v>24629.26</v>
      </c>
      <c r="I9" s="5" t="inlineStr"/>
      <c r="J9" s="5" t="inlineStr">
        <is>
          <t>Invoice / replacement cost (line_cost)</t>
        </is>
      </c>
    </row>
    <row r="10">
      <c r="A10" s="5" t="inlineStr">
        <is>
          <t>PKG-991</t>
        </is>
      </c>
      <c r="B10" s="5" t="inlineStr">
        <is>
          <t>Staging</t>
        </is>
      </c>
      <c r="C10" s="9" t="n">
        <v>11418</v>
      </c>
      <c r="D10" s="5" t="inlineStr">
        <is>
          <t>Open</t>
        </is>
      </c>
      <c r="E10" s="5" t="inlineStr">
        <is>
          <t>None</t>
        </is>
      </c>
      <c r="F10" s="5" t="inlineStr">
        <is>
          <t>Non-stock packaging</t>
        </is>
      </c>
      <c r="G10" s="5" t="inlineStr">
        <is>
          <t>Exclude</t>
        </is>
      </c>
      <c r="H10" t="n" s="9">
        <f>IF(G10="Include — covered stock",C10,0)</f>
        <v>0</v>
      </c>
      <c r="I10" s="5" t="inlineStr">
        <is>
          <t>Packaging — not stock under memo definition</t>
        </is>
      </c>
      <c r="J10" s="5" t="inlineStr">
        <is>
          <t>n/a — excluded</t>
        </is>
      </c>
    </row>
    <row r="11">
      <c r="A11" s="5" t="inlineStr">
        <is>
          <t>LOT-B-099</t>
        </is>
      </c>
      <c r="B11" s="5" t="inlineStr">
        <is>
          <t>Zone B</t>
        </is>
      </c>
      <c r="C11" s="9" t="n">
        <v>8200</v>
      </c>
      <c r="D11" s="5" t="inlineStr">
        <is>
          <t>VOID</t>
        </is>
      </c>
      <c r="E11" s="5" t="inlineStr">
        <is>
          <t>VOID</t>
        </is>
      </c>
      <c r="F11" s="5" t="inlineStr">
        <is>
          <t>Stock (ineligible status)</t>
        </is>
      </c>
      <c r="G11" s="5" t="inlineStr">
        <is>
          <t>Exclude</t>
        </is>
      </c>
      <c r="H11" t="n" s="9">
        <f>IF(G11="Include — covered stock",C11,0)</f>
        <v>0</v>
      </c>
      <c r="I11" s="5" t="inlineStr">
        <is>
          <t>VOID — never in Zone B</t>
        </is>
      </c>
      <c r="J11" s="5" t="inlineStr">
        <is>
          <t>n/a — excluded</t>
        </is>
      </c>
    </row>
    <row r="12">
      <c r="A12" s="5" t="inlineStr">
        <is>
          <t>LOT-B-218-DUP</t>
        </is>
      </c>
      <c r="B12" s="5" t="inlineStr">
        <is>
          <t>Zone B</t>
        </is>
      </c>
      <c r="C12" s="9" t="n">
        <v>61501.44</v>
      </c>
      <c r="D12" s="5" t="inlineStr">
        <is>
          <t>Duplicate</t>
        </is>
      </c>
      <c r="E12" s="5" t="inlineStr">
        <is>
          <t>Duplicate</t>
        </is>
      </c>
      <c r="F12" s="5" t="inlineStr">
        <is>
          <t>Stock (duplicate rekey)</t>
        </is>
      </c>
      <c r="G12" s="5" t="inlineStr">
        <is>
          <t>Exclude</t>
        </is>
      </c>
      <c r="H12" t="n" s="9">
        <f>IF(G12="Include — covered stock",C12,0)</f>
        <v>0</v>
      </c>
      <c r="I12" s="5" t="inlineStr">
        <is>
          <t>Duplicate rekey of LOT-B-218</t>
        </is>
      </c>
      <c r="J12" s="5" t="inlineStr">
        <is>
          <t>n/a — excluded</t>
        </is>
      </c>
    </row>
    <row r="13"/>
    <row r="14">
      <c r="A14" s="2" t="inlineStr">
        <is>
          <t>Control totals</t>
        </is>
      </c>
    </row>
    <row r="15">
      <c r="A15" s="5" t="inlineStr">
        <is>
          <t>Eligible covered stock</t>
        </is>
      </c>
      <c r="B15" t="n" s="9">
        <f>SUM(H4:H12)</f>
        <v>254317.96</v>
      </c>
    </row>
    <row r="16">
      <c r="A16" s="5" t="inlineStr">
        <is>
          <t>VOID inventory</t>
        </is>
      </c>
      <c r="B16" t="n" s="9">
        <f>SUMIF(E4:E12,"VOID",C4:C12)</f>
        <v>8200</v>
      </c>
    </row>
    <row r="17">
      <c r="A17" s="5" t="inlineStr">
        <is>
          <t>Duplicate inventory</t>
        </is>
      </c>
      <c r="B17" t="n" s="9">
        <f>SUMIF(E4:E12,"Duplicate",C4:C12)</f>
        <v>61501.44</v>
      </c>
    </row>
    <row r="18">
      <c r="A18" s="5" t="inlineStr">
        <is>
          <t>Packaging / non-stock exclusions</t>
        </is>
      </c>
      <c r="B18" t="n" s="9">
        <f>SUMIF(F4:F12,"Non-stock*",C4:C12)</f>
        <v>11418</v>
      </c>
    </row>
    <row r="19">
      <c r="A19" s="5" t="inlineStr">
        <is>
          <t>Other denied/excluded (equipment + BI demands — documented outside lot pipe)</t>
        </is>
      </c>
      <c r="B19" s="9" t="n">
        <v>149757.6</v>
      </c>
    </row>
    <row r="20">
      <c r="A20" s="5" t="inlineStr">
        <is>
          <t>Raw inventory total (lot population)</t>
        </is>
      </c>
      <c r="B20" t="n" s="9">
        <f>SUM(C4:C12)</f>
        <v>335437.4</v>
      </c>
    </row>
    <row r="21">
      <c r="A21" s="5" t="inlineStr">
        <is>
          <t>Eligible + VOID + Duplicate + Packaging</t>
        </is>
      </c>
      <c r="B21" t="n" s="9">
        <f>B15+B16+B17+B18</f>
        <v>335437.4</v>
      </c>
    </row>
    <row r="22">
      <c r="A22" s="4" t="inlineStr">
        <is>
          <t>Control check: raw = eligible + excluded/dup/VOID adjustments</t>
        </is>
      </c>
      <c r="B22" t="str" s="12">
        <f>IF(ABS(B20-B21)&lt;0.01,"PASS","FAIL")</f>
        <v>PASS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55" customWidth="1" min="4" max="4"/>
    <col width="30" customWidth="1" min="5" max="5"/>
  </cols>
  <sheetData>
    <row r="1">
      <c r="A1" s="1" t="inlineStr">
        <is>
          <t>Valuation reconciliation — candidate bases → governing basis</t>
        </is>
      </c>
    </row>
    <row r="2"/>
    <row r="3">
      <c r="A3" s="4" t="inlineStr">
        <is>
          <t>Candidate basis</t>
        </is>
      </c>
      <c r="B3" s="4" t="inlineStr">
        <is>
          <t>Source of candidate</t>
        </is>
      </c>
      <c r="C3" s="4" t="inlineStr">
        <is>
          <t>Selected for actual?</t>
        </is>
      </c>
      <c r="D3" s="4" t="inlineStr">
        <is>
          <t>Rationale</t>
        </is>
      </c>
      <c r="E3" s="4" t="inlineStr">
        <is>
          <t>Implied amount</t>
        </is>
      </c>
    </row>
    <row r="4" ht="40" customHeight="1">
      <c r="A4" s="6" t="inlineStr">
        <is>
          <t>Selling price (unit_selling_price aggregates on covered lots)</t>
        </is>
      </c>
      <c r="B4" s="6" t="inlineStr">
        <is>
          <t>ashcroft-foods_claim_file.xlsx Inventory + N-01</t>
        </is>
      </c>
      <c r="C4" s="13" t="inlineStr">
        <is>
          <t>No — counterfactual only</t>
        </is>
      </c>
      <c r="D4" s="6" t="inlineStr">
        <is>
          <t>Selling-price rider not elected (ashcroft-foods_policy_schedule.csv PS-24); coverage_investigation_memo.txt requires invoice/replacement cost</t>
        </is>
      </c>
      <c r="E4" s="14" t="n">
        <v>367343.9</v>
      </c>
    </row>
    <row r="5" ht="40" customHeight="1">
      <c r="A5" s="6" t="inlineStr">
        <is>
          <t>Invoice / replacement cost (line_cost)</t>
        </is>
      </c>
      <c r="B5" s="6" t="inlineStr">
        <is>
          <t>ashcroft-foods_policy_schedule.csv PS-09; coverage_investigation_memo.txt valuation rule</t>
        </is>
      </c>
      <c r="C5" s="6" t="inlineStr">
        <is>
          <t>Yes — governing</t>
        </is>
      </c>
      <c r="D5" s="6" t="inlineStr">
        <is>
          <t>Active CP 04 40 valuation; memo hierarchy over stale field note</t>
        </is>
      </c>
      <c r="E5" t="n" s="14">
        <f>'Inventory Audit Trail'!B15</f>
        <v>254317.96</v>
      </c>
    </row>
    <row r="6"/>
    <row r="7">
      <c r="A7" s="7" t="inlineStr">
        <is>
          <t>Population affected</t>
        </is>
      </c>
      <c r="B7" s="7" t="inlineStr">
        <is>
          <t>Eligible covered stock lots only (6 of 9 demand lots)</t>
        </is>
      </c>
    </row>
    <row r="8">
      <c r="A8" s="4" t="inlineStr">
        <is>
          <t>Governing covered amount (actual)</t>
        </is>
      </c>
      <c r="B8" t="n" s="15">
        <f>'Inventory Audit Trail'!B15</f>
        <v>254317.96</v>
      </c>
    </row>
    <row r="9">
      <c r="A9" s="7" t="inlineStr">
        <is>
          <t>Rejected basis amount (not used in actual reserve)</t>
        </is>
      </c>
      <c r="B9" t="n" s="16">
        <f>E4</f>
        <v>367343.9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42" customWidth="1" min="4" max="4"/>
  </cols>
  <sheetData>
    <row r="1">
      <c r="A1" s="1" t="inlineStr">
        <is>
          <t>Indemnity case reserve bridge (formula-linked — no hard-coded final)</t>
        </is>
      </c>
    </row>
    <row r="2"/>
    <row r="3">
      <c r="A3" s="4" t="inlineStr">
        <is>
          <t>Stage</t>
        </is>
      </c>
      <c r="B3" s="4" t="inlineStr">
        <is>
          <t>Description</t>
        </is>
      </c>
      <c r="C3" s="4" t="inlineStr">
        <is>
          <t>Amount</t>
        </is>
      </c>
      <c r="D3" s="4" t="inlineStr">
        <is>
          <t>Formula / source</t>
        </is>
      </c>
    </row>
    <row r="4">
      <c r="A4" s="5" t="inlineStr">
        <is>
          <t>1</t>
        </is>
      </c>
      <c r="B4" s="5" t="inlineStr">
        <is>
          <t>Raw inventory</t>
        </is>
      </c>
      <c r="C4" t="n" s="9">
        <f>'Inventory Audit Trail'!B20</f>
        <v>335437.4</v>
      </c>
      <c r="D4" s="5" t="inlineStr">
        <is>
          <t>Inventory Audit Trail raw sum</t>
        </is>
      </c>
    </row>
    <row r="5">
      <c r="A5" s="5" t="inlineStr">
        <is>
          <t>2</t>
        </is>
      </c>
      <c r="B5" s="5" t="inlineStr">
        <is>
          <t>Exclusions / VOID</t>
        </is>
      </c>
      <c r="C5" t="n" s="9">
        <f>-'Inventory Audit Trail'!B16</f>
        <v>-8200</v>
      </c>
      <c r="D5" s="5" t="inlineStr">
        <is>
          <t>Less VOID</t>
        </is>
      </c>
    </row>
    <row r="6">
      <c r="A6" s="5" t="inlineStr">
        <is>
          <t>3</t>
        </is>
      </c>
      <c r="B6" s="5" t="inlineStr">
        <is>
          <t>Duplicate resolution</t>
        </is>
      </c>
      <c r="C6" t="n" s="9">
        <f>-'Inventory Audit Trail'!B17</f>
        <v>-61501.44</v>
      </c>
      <c r="D6" s="5" t="inlineStr">
        <is>
          <t>Less duplicates</t>
        </is>
      </c>
    </row>
    <row r="7">
      <c r="A7" s="5" t="inlineStr">
        <is>
          <t>4</t>
        </is>
      </c>
      <c r="B7" s="5" t="inlineStr">
        <is>
          <t>Non-stock packaging exclusions</t>
        </is>
      </c>
      <c r="C7" t="n" s="9">
        <f>-'Inventory Audit Trail'!B18</f>
        <v>-11418</v>
      </c>
      <c r="D7" s="5" t="inlineStr">
        <is>
          <t>Less packaging</t>
        </is>
      </c>
    </row>
    <row r="8">
      <c r="A8" s="5" t="inlineStr">
        <is>
          <t>5</t>
        </is>
      </c>
      <c r="B8" s="5" t="inlineStr">
        <is>
          <t>Eligible covered stock</t>
        </is>
      </c>
      <c r="C8" t="n" s="9">
        <f>'Inventory Audit Trail'!B15</f>
        <v>254317.96</v>
      </c>
      <c r="D8" s="5" t="inlineStr">
        <is>
          <t>Invoice eligible total</t>
        </is>
      </c>
    </row>
    <row r="9">
      <c r="A9" s="5" t="inlineStr">
        <is>
          <t>Footing check (raw + adj = eligible)</t>
        </is>
      </c>
      <c r="B9" s="5" t="n"/>
      <c r="C9" t="n" s="9">
        <f>C4+C5+C6+C7</f>
        <v>254317.96</v>
      </c>
      <c r="D9" t="str" s="17">
        <f>IF(ABS(C9-C8)&lt;0.01,"PASS","FAIL")</f>
        <v>PASS</v>
      </c>
    </row>
    <row r="10">
      <c r="A10" s="5" t="inlineStr">
        <is>
          <t>6</t>
        </is>
      </c>
      <c r="B10" s="5" t="inlineStr">
        <is>
          <t>Salvage credit</t>
        </is>
      </c>
      <c r="C10" t="n" s="9">
        <f>ROUND('Inventory Audit Trail'!H7*0.3,2)</f>
        <v>12629.82</v>
      </c>
      <c r="D10" s="5" t="inlineStr">
        <is>
          <t>LOT-B-441 × 30%</t>
        </is>
      </c>
    </row>
    <row r="11">
      <c r="A11" s="5" t="inlineStr">
        <is>
          <t>7</t>
        </is>
      </c>
      <c r="B11" s="5" t="inlineStr">
        <is>
          <t>Net after salvage</t>
        </is>
      </c>
      <c r="C11" t="n" s="9">
        <f>C8-C10</f>
        <v>241688.14</v>
      </c>
      <c r="D11" s="5" t="inlineStr">
        <is>
          <t>Eligible − salvage</t>
        </is>
      </c>
    </row>
    <row r="12">
      <c r="A12" s="5" t="inlineStr">
        <is>
          <t>8</t>
        </is>
      </c>
      <c r="B12" s="5" t="inlineStr">
        <is>
          <t>After maintenance coinsurance</t>
        </is>
      </c>
      <c r="C12" t="n" s="9">
        <f>ROUND(C11*'Maintenance Timeline'!B16,2)</f>
        <v>181266.11</v>
      </c>
      <c r="D12" s="5" t="inlineStr">
        <is>
          <t>× Maintenance Timeline!B16</t>
        </is>
      </c>
    </row>
    <row r="13">
      <c r="A13" s="5" t="inlineStr">
        <is>
          <t>9</t>
        </is>
      </c>
      <c r="B13" s="5" t="inlineStr">
        <is>
          <t>Less Active spoilage deductible</t>
        </is>
      </c>
      <c r="C13" s="9" t="n">
        <v>5000</v>
      </c>
      <c r="D13" s="5" t="inlineStr">
        <is>
          <t>Active — not superseded (see Evidence matrix B)</t>
        </is>
      </c>
    </row>
    <row r="14">
      <c r="A14" s="4" t="inlineStr">
        <is>
          <t>10</t>
        </is>
      </c>
      <c r="B14" s="4" t="inlineStr">
        <is>
          <t>Indemnity case reserve</t>
        </is>
      </c>
      <c r="C14" t="n" s="15">
        <f>C12-C13</f>
        <v>176266.11</v>
      </c>
      <c r="D14" s="4" t="inlineStr">
        <is>
          <t>Formula chain — not typed</t>
        </is>
      </c>
    </row>
    <row r="15"/>
    <row r="16">
      <c r="A16" t="inlineStr">
        <is>
          <t>ALAE excluded from this bridge — see ALAE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Pure vs case reserve bridge — double-counting control</t>
        </is>
      </c>
    </row>
    <row r="2"/>
    <row r="3">
      <c r="A3" s="4" t="inlineStr">
        <is>
          <t>Component</t>
        </is>
      </c>
      <c r="B3" s="4" t="inlineStr">
        <is>
          <t>Amount</t>
        </is>
      </c>
      <c r="C3" s="4" t="inlineStr">
        <is>
          <t>Notes</t>
        </is>
      </c>
    </row>
    <row r="4">
      <c r="A4" s="5" t="inlineStr">
        <is>
          <t>Cleaned indemnity case reserve</t>
        </is>
      </c>
      <c r="B4" t="n" s="9">
        <f>'Reserve Bridge'!C14</f>
        <v>176266.11</v>
      </c>
      <c r="C4" s="5" t="inlineStr">
        <is>
          <t>From Reserve Bridge formula chain</t>
        </is>
      </c>
    </row>
    <row r="5">
      <c r="A5" s="5" t="inlineStr">
        <is>
          <t>Triangle / other indicated amount</t>
        </is>
      </c>
      <c r="B5" s="9" t="n">
        <v>0</v>
      </c>
      <c r="C5" s="5" t="inlineStr">
        <is>
          <t>Not applicable — packet is a single-claim coverage file; no triangle indication supplied</t>
        </is>
      </c>
    </row>
    <row r="6">
      <c r="A6" s="5" t="inlineStr">
        <is>
          <t>Pure IBNR</t>
        </is>
      </c>
      <c r="B6" s="9" t="n">
        <v>0</v>
      </c>
      <c r="C6" s="5" t="inlineStr">
        <is>
          <t>No pure IBNR indicated for this single known claim beyond the case reserve</t>
        </is>
      </c>
    </row>
    <row r="7">
      <c r="A7" s="5" t="inlineStr">
        <is>
          <t>Total reserve (case + pure IBNR)</t>
        </is>
      </c>
      <c r="B7" t="n" s="9">
        <f>B4+B5+B6</f>
        <v>176266.11</v>
      </c>
      <c r="C7" s="5" t="inlineStr">
        <is>
          <t>Formula sum</t>
        </is>
      </c>
    </row>
    <row r="8" ht="48" customHeight="1">
      <c r="A8" s="5" t="inlineStr">
        <is>
          <t>Double-counting test</t>
        </is>
      </c>
      <c r="B8" t="str" s="17">
        <f>IF(AND(B6=0,ABS(B7-B4)&lt;0.01),"PASS — case not also in pure IBNR","FAIL")</f>
        <v>PASS — case not also in pure IBNR</v>
      </c>
      <c r="C8" s="6" t="inlineStr">
        <is>
          <t>Case amount is booked once on the case line. Pure IBNR is zero for this known claim, so the case figure is not simultaneously included in pure IBNR.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42" customWidth="1" min="4" max="4"/>
    <col width="42" customWidth="1" min="5" max="5"/>
    <col width="42" customWidth="1" min="6" max="6"/>
  </cols>
  <sheetData>
    <row r="1">
      <c r="A1" s="18" t="inlineStr">
        <is>
          <t>Counterfactual / sensitivity scenarios — NOT actual committee conclusions</t>
        </is>
      </c>
    </row>
    <row r="2"/>
    <row r="3">
      <c r="A3" t="inlineStr">
        <is>
          <t>Actual indemnity case reserve (governing)</t>
        </is>
      </c>
      <c r="B3" t="n" s="19">
        <f>'Reserve Bridge'!C14</f>
        <v>176266.11</v>
      </c>
    </row>
    <row r="4"/>
    <row r="5">
      <c r="A5" s="4" t="inlineStr">
        <is>
          <t>Scenario</t>
        </is>
      </c>
      <c r="B5" s="4" t="inlineStr">
        <is>
          <t>Mark</t>
        </is>
      </c>
      <c r="C5" s="4" t="inlineStr">
        <is>
          <t>Counterfactual input</t>
        </is>
      </c>
      <c r="D5" s="4" t="inlineStr">
        <is>
          <t>Formula result</t>
        </is>
      </c>
      <c r="E5" s="4" t="inlineStr">
        <is>
          <t>Delta vs actual</t>
        </is>
      </c>
      <c r="F5" s="4" t="inlineStr">
        <is>
          <t>Used for actual conclusion?</t>
        </is>
      </c>
    </row>
    <row r="6" ht="36" customHeight="1">
      <c r="A6" s="13" t="inlineStr">
        <is>
          <t>S1 — Wrong deductible (superseded)</t>
        </is>
      </c>
      <c r="B6" s="13" t="inlineStr">
        <is>
          <t>Counterfactual</t>
        </is>
      </c>
      <c r="C6" s="20" t="n">
        <v>10000</v>
      </c>
      <c r="D6" t="n" s="20">
        <f>'Reserve Bridge'!C12-10000.0</f>
        <v>171266.11</v>
      </c>
      <c r="E6" t="n" s="20">
        <f>D6-$B$3</f>
        <v>-5000</v>
      </c>
      <c r="F6" s="13" t="inlineStr">
        <is>
          <t>No</t>
        </is>
      </c>
    </row>
    <row r="7" ht="36" customHeight="1">
      <c r="A7" s="13" t="inlineStr">
        <is>
          <t>S2 — Selling-price basis</t>
        </is>
      </c>
      <c r="B7" s="13" t="inlineStr">
        <is>
          <t>Counterfactual</t>
        </is>
      </c>
      <c r="C7" s="20" t="n">
        <v>367343.9</v>
      </c>
      <c r="D7" t="n" s="20">
        <f>ROUND((367343.9-12629.82)*'Maintenance Timeline'!B16,2)-5000.0</f>
        <v>261035.56</v>
      </c>
      <c r="E7" t="n" s="20">
        <f>D7-$B$3</f>
        <v>84769.45</v>
      </c>
      <c r="F7" s="13" t="inlineStr">
        <is>
          <t>No</t>
        </is>
      </c>
    </row>
    <row r="8" ht="36" customHeight="1">
      <c r="A8" s="13" t="inlineStr">
        <is>
          <t>S3 — No maintenance coinsurance</t>
        </is>
      </c>
      <c r="B8" s="13" t="inlineStr">
        <is>
          <t>Counterfactual</t>
        </is>
      </c>
      <c r="C8" s="13" t="n">
        <v>1</v>
      </c>
      <c r="D8" t="n" s="20">
        <f>241688.14-5000.0</f>
        <v>236688.14</v>
      </c>
      <c r="E8" t="n" s="20">
        <f>D8-$B$3</f>
        <v>60422.03</v>
      </c>
      <c r="F8" s="13" t="inlineStr">
        <is>
          <t>No</t>
        </is>
      </c>
    </row>
    <row r="9" ht="36" customHeight="1">
      <c r="A9" s="13" t="inlineStr">
        <is>
          <t>S4 — Equipment hypothetically covered</t>
        </is>
      </c>
      <c r="B9" s="13" t="inlineStr">
        <is>
          <t>Counterfactual</t>
        </is>
      </c>
      <c r="C9" t="n" s="20">
        <f>'Denied Items'!B12</f>
        <v>82517.6</v>
      </c>
      <c r="D9" t="n" s="20">
        <f>$B$3+'Denied Items'!B12</f>
        <v>258783.71</v>
      </c>
      <c r="E9" t="n" s="20">
        <f>D9-$B$3</f>
        <v>82517.6</v>
      </c>
      <c r="F9" s="13" t="inlineStr">
        <is>
          <t>No — actual disposition remains Deny</t>
        </is>
      </c>
    </row>
    <row r="10" ht="36" customHeight="1">
      <c r="A10" s="13" t="inlineStr">
        <is>
          <t>S5 — Excluded/VOID lot under actual decision</t>
        </is>
      </c>
      <c r="B10" s="13" t="inlineStr">
        <is>
          <t>Counterfactual control</t>
        </is>
      </c>
      <c r="C10" t="n" s="20">
        <f>'Inventory Audit Trail'!C11</f>
        <v>8200</v>
      </c>
      <c r="D10" t="n" s="20">
        <f>ROUND((254317.96+8200.0-12629.82)*'Maintenance Timeline'!B16,2)-5000.0</f>
        <v>182416.1</v>
      </c>
      <c r="E10" t="str" s="13">
        <f>IF(ABS($B$3-(176266.11))&lt;0.01,"Actual reserve unchanged while VOID excluded (PASS control)","FAIL")</f>
        <v>Actual reserve unchanged while VOID excluded (PASS control)</v>
      </c>
      <c r="F10" s="13" t="inlineStr">
        <is>
          <t>No — VOID remains excluded in actual trail</t>
        </is>
      </c>
    </row>
    <row r="11"/>
    <row r="12" ht="48" customHeight="1">
      <c r="A12" s="3" t="inlineStr">
        <is>
          <t>S5 note: D10 shows the counterfactual reserve if VOID LOT-B-099 were improperly restored to eligible; E10 confirms the actual governing reserve (B3) is the cleaned case amount with VOID excluded. Varying the VOID raw amount while coverage_treatment remains Exclude does not feed Reserve Bridge.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28" customWidth="1" min="5" max="5"/>
    <col width="36" customWidth="1" min="6" max="6"/>
  </cols>
  <sheetData>
    <row r="1">
      <c r="A1" s="1" t="inlineStr">
        <is>
          <t>Coverage-to-financial-impact dependency graph</t>
        </is>
      </c>
    </row>
    <row r="2"/>
    <row r="3">
      <c r="A3" s="4" t="inlineStr">
        <is>
          <t>Decision</t>
        </is>
      </c>
      <c r="B3" s="4" t="inlineStr">
        <is>
          <t>Source evidence</t>
        </is>
      </c>
      <c r="C3" s="4" t="inlineStr">
        <is>
          <t>Rule</t>
        </is>
      </c>
      <c r="D3" s="4" t="inlineStr">
        <is>
          <t>Test</t>
        </is>
      </c>
      <c r="E3" s="4" t="inlineStr">
        <is>
          <t>Conclusion</t>
        </is>
      </c>
      <c r="F3" s="4" t="inlineStr">
        <is>
          <t>Financial impact</t>
        </is>
      </c>
    </row>
    <row r="4" ht="48" customHeight="1">
      <c r="A4" s="6" t="inlineStr">
        <is>
          <t>Stock coverage</t>
        </is>
      </c>
      <c r="B4" s="6" t="inlineStr">
        <is>
          <t>ashcroft-foods_claim_file.xlsx Inventory/Loss Notice; ashcroft-foods_policy_schedule.csv CP 04 40; coverage_investigation_memo.txt</t>
        </is>
      </c>
      <c r="C4" s="6" t="inlineStr">
        <is>
          <t>Spoilage stock trigger + stock definition</t>
        </is>
      </c>
      <c r="D4" s="6" t="inlineStr">
        <is>
          <t>On-prem breakdown → temperature change to Open/Open-Salvage Zone B stock</t>
        </is>
      </c>
      <c r="E4" s="6" t="inlineStr">
        <is>
          <t>Accept — Partial</t>
        </is>
      </c>
      <c r="F4" s="6" t="inlineStr">
        <is>
          <t>Feeds Reserve Bridge eligible stock</t>
        </is>
      </c>
    </row>
    <row r="5" ht="48" customHeight="1">
      <c r="A5" s="6" t="inlineStr">
        <is>
          <t>Equipment coverage</t>
        </is>
      </c>
      <c r="B5" s="6" t="inlineStr">
        <is>
          <t>ashcroft-foods_claim_file.xlsx Equipment + N-09; ashcroft-foods_policy_schedule.csv Mechanical Breakdown; coverage_investigation_memo.txt</t>
        </is>
      </c>
      <c r="C5" s="6" t="inlineStr">
        <is>
          <t>Mechanical Breakdown bars direct equipment repair; no floater</t>
        </is>
      </c>
      <c r="D5" s="6" t="inlineStr">
        <is>
          <t>Is demand for repair/replacement of failed equipment?</t>
        </is>
      </c>
      <c r="E5" s="6" t="inlineStr">
        <is>
          <t>Deny</t>
        </is>
      </c>
      <c r="F5" s="6" t="inlineStr">
        <is>
          <t>Impact 0 (footed demand 82,517.60 documented only)</t>
        </is>
      </c>
    </row>
    <row r="6" ht="48" customHeight="1">
      <c r="A6" s="6" t="inlineStr">
        <is>
          <t>BI coverage</t>
        </is>
      </c>
      <c r="B6" s="6" t="inlineStr">
        <is>
          <t>ashcroft-foods_claim_file.xlsx BI Claim; ashcroft-foods_policy_schedule.csv waiting period; coverage_investigation_memo.txt</t>
        </is>
      </c>
      <c r="C6" s="6" t="inlineStr">
        <is>
          <t>Waiting period vs logger interruption</t>
        </is>
      </c>
      <c r="D6" s="6" t="inlineStr">
        <is>
          <t>14h ?≥ 72h</t>
        </is>
      </c>
      <c r="E6" s="6" t="inlineStr">
        <is>
          <t>Deny</t>
        </is>
      </c>
      <c r="F6" s="6" t="inlineStr">
        <is>
          <t>Impact 0</t>
        </is>
      </c>
    </row>
    <row r="7" ht="48" customHeight="1">
      <c r="A7" s="6" t="inlineStr">
        <is>
          <t>Packaging treatment</t>
        </is>
      </c>
      <c r="B7" s="6" t="inlineStr">
        <is>
          <t>ashcroft-foods_claim_file.xlsx PKG-991; coverage_investigation_memo.txt stock definition</t>
        </is>
      </c>
      <c r="C7" s="6" t="inlineStr">
        <is>
          <t>Packaging not stock</t>
        </is>
      </c>
      <c r="D7" s="6" t="inlineStr">
        <is>
          <t>Is line perishable frozen food product?</t>
        </is>
      </c>
      <c r="E7" s="6" t="inlineStr">
        <is>
          <t>Deny / Exclude</t>
        </is>
      </c>
      <c r="F7" s="6" t="inlineStr">
        <is>
          <t>Exclude 11,418.00 from eligible stock</t>
        </is>
      </c>
    </row>
    <row r="8" ht="48" customHeight="1">
      <c r="A8" s="6" t="inlineStr">
        <is>
          <t>Maintenance coinsurance</t>
        </is>
      </c>
      <c r="B8" s="6" t="inlineStr">
        <is>
          <t>ashcroft-foods_claim_file.xlsx N-02 dates/interval; coverage_investigation_memo.txt grace/safe harbor</t>
        </is>
      </c>
      <c r="C8" s="6" t="inlineStr">
        <is>
          <t>Overdue beyond grace + vendor cancel within 14 days → 75% pay</t>
        </is>
      </c>
      <c r="D8" s="6" t="inlineStr">
        <is>
          <t>See Maintenance Timeline conditions</t>
        </is>
      </c>
      <c r="E8" s="6" t="inlineStr">
        <is>
          <t>Pay factor 75%</t>
        </is>
      </c>
      <c r="F8" s="6" t="inlineStr">
        <is>
          <t>Reserve Bridge stage 8</t>
        </is>
      </c>
    </row>
    <row r="9" ht="48" customHeight="1">
      <c r="A9" s="6" t="inlineStr">
        <is>
          <t>Valuation</t>
        </is>
      </c>
      <c r="B9" s="6" t="inlineStr">
        <is>
          <t>ashcroft-foods_policy_schedule.csv PS-24; coverage_investigation_memo.txt; N-01 competing</t>
        </is>
      </c>
      <c r="C9" s="6" t="inlineStr">
        <is>
          <t>Invoice unless selling-price elected</t>
        </is>
      </c>
      <c r="D9" s="6" t="inlineStr">
        <is>
          <t>Was selling-price rider elected?</t>
        </is>
      </c>
      <c r="E9" s="6" t="inlineStr">
        <is>
          <t>Invoice / replacement cost</t>
        </is>
      </c>
      <c r="F9" s="6" t="inlineStr">
        <is>
          <t>Covered amount → 254,317.96 (link)</t>
        </is>
      </c>
    </row>
    <row r="10" ht="48" customHeight="1">
      <c r="A10" s="6" t="inlineStr">
        <is>
          <t>Deductible</t>
        </is>
      </c>
      <c r="B10" s="6" t="inlineStr">
        <is>
          <t>ashcroft-foods_policy_schedule.csv Active vs Superseded rows; coverage_investigation_memo.txt hierarchy</t>
        </is>
      </c>
      <c r="C10" s="6" t="inlineStr">
        <is>
          <t>Active spoilage deductible governs</t>
        </is>
      </c>
      <c r="D10" s="6" t="inlineStr">
        <is>
          <t>Schedule status Active vs Superseded</t>
        </is>
      </c>
      <c r="E10" s="6" t="inlineStr">
        <is>
          <t>Apply Active 5,000</t>
        </is>
      </c>
      <c r="F10" s="6" t="inlineStr">
        <is>
          <t>Reserve Bridge stage 9</t>
        </is>
      </c>
    </row>
    <row r="11"/>
    <row r="12">
      <c r="A12" s="7" t="inlineStr">
        <is>
          <t>Trace → reserve link</t>
        </is>
      </c>
      <c r="B12" t="n" s="21">
        <f>'Reserve Bridge'!C14</f>
        <v>176266.11</v>
      </c>
      <c r="C12" s="7" t="inlineStr">
        <is>
          <t>File Recommendation must use this actual reserve, not Scenario Checks counterfactuals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50" customWidth="1" min="4" max="4"/>
  </cols>
  <sheetData>
    <row r="1">
      <c r="A1" s="1" t="inlineStr">
        <is>
          <t>Denied / excluded items + equipment footing block</t>
        </is>
      </c>
    </row>
    <row r="2"/>
    <row r="3">
      <c r="A3" s="4" t="inlineStr">
        <is>
          <t>item</t>
        </is>
      </c>
      <c r="B3" s="4" t="inlineStr">
        <is>
          <t>amount</t>
        </is>
      </c>
      <c r="C3" s="4" t="inlineStr">
        <is>
          <t>disposition</t>
        </is>
      </c>
      <c r="D3" s="4" t="inlineStr">
        <is>
          <t>reason</t>
        </is>
      </c>
    </row>
    <row r="4">
      <c r="A4" s="5" t="inlineStr">
        <is>
          <t>Equipment EQ-01 — Compressor #3 rebuild / replace core</t>
        </is>
      </c>
      <c r="B4" s="9" t="n">
        <v>61240</v>
      </c>
      <c r="C4" s="5" t="inlineStr">
        <is>
          <t>Component</t>
        </is>
      </c>
      <c r="D4" s="5" t="inlineStr">
        <is>
          <t>ashcroft-foods_claim_file.xlsx Equipment tab</t>
        </is>
      </c>
    </row>
    <row r="5">
      <c r="A5" s="5" t="inlineStr">
        <is>
          <t>Equipment EQ-02 — Ammonia charge and leak test</t>
        </is>
      </c>
      <c r="B5" s="9" t="n">
        <v>8840.5</v>
      </c>
      <c r="C5" s="5" t="inlineStr">
        <is>
          <t>Component</t>
        </is>
      </c>
      <c r="D5" s="5" t="inlineStr">
        <is>
          <t>ashcroft-foods_claim_file.xlsx Equipment tab</t>
        </is>
      </c>
    </row>
    <row r="6">
      <c r="A6" s="5" t="inlineStr">
        <is>
          <t>Equipment EQ-03 — Controls board and sensors</t>
        </is>
      </c>
      <c r="B6" s="9" t="n">
        <v>6912.1</v>
      </c>
      <c r="C6" s="5" t="inlineStr">
        <is>
          <t>Component</t>
        </is>
      </c>
      <c r="D6" s="5" t="inlineStr">
        <is>
          <t>ashcroft-foods_claim_file.xlsx Equipment tab</t>
        </is>
      </c>
    </row>
    <row r="7">
      <c r="A7" s="5" t="inlineStr">
        <is>
          <t>Equipment EQ-04 — Crane / after-hours premium</t>
        </is>
      </c>
      <c r="B7" s="9" t="n">
        <v>4525</v>
      </c>
      <c r="C7" s="5" t="inlineStr">
        <is>
          <t>Component</t>
        </is>
      </c>
      <c r="D7" s="5" t="inlineStr">
        <is>
          <t>ashcroft-foods_claim_file.xlsx Equipment tab</t>
        </is>
      </c>
    </row>
    <row r="8">
      <c r="A8" s="5" t="inlineStr">
        <is>
          <t>Equipment EQ-05 — Temp logger calibration (Zone B)</t>
        </is>
      </c>
      <c r="B8" s="9" t="n">
        <v>1000</v>
      </c>
      <c r="C8" s="5" t="inlineStr">
        <is>
          <t>Component</t>
        </is>
      </c>
      <c r="D8" s="5" t="inlineStr">
        <is>
          <t>ashcroft-foods_claim_file.xlsx Equipment tab</t>
        </is>
      </c>
    </row>
    <row r="9">
      <c r="A9" s="4" t="inlineStr">
        <is>
          <t>Equipment component total (EQ-01..EQ-05)</t>
        </is>
      </c>
      <c r="B9" t="n" s="15">
        <f>SUM(B4:B8)</f>
        <v>82517.6</v>
      </c>
      <c r="C9" s="5" t="inlineStr">
        <is>
          <t>Source-of-truth footing</t>
        </is>
      </c>
      <c r="D9" s="5" t="inlineStr">
        <is>
          <t>Formula sum</t>
        </is>
      </c>
    </row>
    <row r="10">
      <c r="A10" s="5" t="inlineStr">
        <is>
          <t>Prior worksheet EQ-SUB (pre-correction)</t>
        </is>
      </c>
      <c r="B10" s="9" t="n">
        <v>84517.6</v>
      </c>
      <c r="C10" s="5" t="inlineStr">
        <is>
          <t>Superseded figure</t>
        </is>
      </c>
      <c r="D10" s="5" t="inlineStr">
        <is>
          <t>ashcroft-foods_claim_file.xlsx N-09</t>
        </is>
      </c>
    </row>
    <row r="11">
      <c r="A11" s="5" t="inlineStr">
        <is>
          <t>Equipment footing variance</t>
        </is>
      </c>
      <c r="B11" t="n" s="9">
        <f>B10-B9</f>
        <v>2000</v>
      </c>
      <c r="C11" s="5" t="inlineStr">
        <is>
          <t>Documented</t>
        </is>
      </c>
      <c r="D11" s="5" t="inlineStr">
        <is>
          <t>Worksheet addition error</t>
        </is>
      </c>
    </row>
    <row r="12">
      <c r="A12" s="4" t="inlineStr">
        <is>
          <t>Corrected equipment footing (denied demand)</t>
        </is>
      </c>
      <c r="B12" t="n" s="15">
        <f>B9</f>
        <v>82517.6</v>
      </c>
      <c r="C12" s="5" t="inlineStr">
        <is>
          <t>Deny</t>
        </is>
      </c>
      <c r="D12" s="5" t="inlineStr">
        <is>
          <t>Mechanical Breakdown; no floater — actual indemnity impact 0</t>
        </is>
      </c>
    </row>
    <row r="13">
      <c r="A13" s="10" t="inlineStr">
        <is>
          <t>Counterfactual if equipment covered (see Scenario Checks S4)</t>
        </is>
      </c>
      <c r="B13" t="n" s="9">
        <f>B12</f>
        <v>82517.6</v>
      </c>
      <c r="C13" s="5" t="inlineStr">
        <is>
          <t>Counterfactual only</t>
        </is>
      </c>
      <c r="D13" s="5" t="inlineStr">
        <is>
          <t>Not used in actual reserve</t>
        </is>
      </c>
    </row>
    <row r="14">
      <c r="A14" s="5" t="inlineStr">
        <is>
          <t>Business Income demand</t>
        </is>
      </c>
      <c r="B14" s="9" t="n">
        <v>67240</v>
      </c>
      <c r="C14" s="5" t="inlineStr">
        <is>
          <t>Deny</t>
        </is>
      </c>
      <c r="D14" s="5" t="inlineStr">
        <is>
          <t>Outage 14h &lt; waiting period 72h</t>
        </is>
      </c>
    </row>
    <row r="15">
      <c r="A15" s="5" t="inlineStr">
        <is>
          <t>Packaging PKG-991</t>
        </is>
      </c>
      <c r="B15" t="n" s="9">
        <f>'Inventory Audit Trail'!C10</f>
        <v>11418</v>
      </c>
      <c r="C15" s="5" t="inlineStr">
        <is>
          <t>Exclude</t>
        </is>
      </c>
      <c r="D15" s="5" t="inlineStr">
        <is>
          <t>Not stock</t>
        </is>
      </c>
    </row>
    <row r="16">
      <c r="A16" s="5" t="inlineStr">
        <is>
          <t>VOID LOT-B-099</t>
        </is>
      </c>
      <c r="B16" t="n" s="9">
        <f>'Inventory Audit Trail'!C11</f>
        <v>8200</v>
      </c>
      <c r="C16" s="5" t="inlineStr">
        <is>
          <t>Exclude</t>
        </is>
      </c>
      <c r="D16" s="5" t="inlineStr">
        <is>
          <t>Never loaded to Zone B</t>
        </is>
      </c>
    </row>
    <row r="17">
      <c r="A17" s="5" t="inlineStr">
        <is>
          <t>Duplicate LOT-B-218-DUP</t>
        </is>
      </c>
      <c r="B17" t="n" s="9">
        <f>'Inventory Audit Trail'!C12</f>
        <v>61501.44</v>
      </c>
      <c r="C17" s="5" t="inlineStr">
        <is>
          <t>Exclude</t>
        </is>
      </c>
      <c r="D17" s="5" t="inlineStr">
        <is>
          <t>Duplicate rekey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37" customWidth="1" min="6" max="6"/>
  </cols>
  <sheetData>
    <row r="1">
      <c r="A1" s="1" t="inlineStr">
        <is>
          <t>ALAE / expense — separate from indemnity case reserve</t>
        </is>
      </c>
    </row>
    <row r="2"/>
    <row r="3">
      <c r="A3" s="4" t="inlineStr">
        <is>
          <t>txn_id</t>
        </is>
      </c>
      <c r="B3" s="4" t="inlineStr">
        <is>
          <t>date</t>
        </is>
      </c>
      <c r="C3" s="4" t="inlineStr">
        <is>
          <t>type</t>
        </is>
      </c>
      <c r="D3" s="4" t="inlineStr">
        <is>
          <t>amount</t>
        </is>
      </c>
      <c r="E3" s="4" t="inlineStr">
        <is>
          <t>status</t>
        </is>
      </c>
      <c r="F3" s="4" t="inlineStr">
        <is>
          <t>memo</t>
        </is>
      </c>
    </row>
    <row r="4">
      <c r="A4" s="5" t="inlineStr">
        <is>
          <t>P-001</t>
        </is>
      </c>
      <c r="B4" s="5" t="inlineStr">
        <is>
          <t>2025-11-22</t>
        </is>
      </c>
      <c r="C4" s="5" t="inlineStr">
        <is>
          <t>Expense</t>
        </is>
      </c>
      <c r="D4" s="9" t="n">
        <v>1840</v>
      </c>
      <c r="E4" s="5" t="inlineStr">
        <is>
          <t>Paid</t>
        </is>
      </c>
      <c r="F4" s="5" t="inlineStr">
        <is>
          <t>Independent adjuster day rate</t>
        </is>
      </c>
    </row>
    <row r="5">
      <c r="A5" s="5" t="inlineStr">
        <is>
          <t>P-002</t>
        </is>
      </c>
      <c r="B5" s="5" t="inlineStr">
        <is>
          <t>2025-11-24</t>
        </is>
      </c>
      <c r="C5" s="5" t="inlineStr">
        <is>
          <t>Expense</t>
        </is>
      </c>
      <c r="D5" s="9" t="n">
        <v>620.5</v>
      </c>
      <c r="E5" s="5" t="inlineStr">
        <is>
          <t>Paid</t>
        </is>
      </c>
      <c r="F5" s="5" t="inlineStr">
        <is>
          <t>Logger download / lab courier</t>
        </is>
      </c>
    </row>
    <row r="6">
      <c r="A6" s="5" t="inlineStr">
        <is>
          <t>P-003</t>
        </is>
      </c>
      <c r="B6" s="5" t="inlineStr">
        <is>
          <t>2025-11-26</t>
        </is>
      </c>
      <c r="C6" s="5" t="inlineStr">
        <is>
          <t>Expense</t>
        </is>
      </c>
      <c r="D6" s="9" t="n">
        <v>275</v>
      </c>
      <c r="E6" s="5" t="inlineStr">
        <is>
          <t>Paid</t>
        </is>
      </c>
      <c r="F6" s="5" t="inlineStr">
        <is>
          <t>Hygienist swab panel</t>
        </is>
      </c>
    </row>
    <row r="7">
      <c r="A7" s="5" t="inlineStr">
        <is>
          <t>P-005</t>
        </is>
      </c>
      <c r="B7" s="5" t="inlineStr">
        <is>
          <t>2025-12-04</t>
        </is>
      </c>
      <c r="C7" s="5" t="inlineStr">
        <is>
          <t>Expense</t>
        </is>
      </c>
      <c r="D7" s="9" t="n">
        <v>410</v>
      </c>
      <c r="E7" s="5" t="inlineStr">
        <is>
          <t>Pending</t>
        </is>
      </c>
      <c r="F7" s="5" t="inlineStr">
        <is>
          <t>Coverage counsel consult hour block</t>
        </is>
      </c>
    </row>
    <row r="8"/>
    <row r="9">
      <c r="A9" s="2" t="inlineStr">
        <is>
          <t>ALAE expense total (not in indemnity reserve)</t>
        </is>
      </c>
      <c r="B9" t="n" s="19">
        <f>SUM(D4:D7)</f>
        <v>3145.5</v>
      </c>
    </row>
    <row r="10">
      <c r="A10" t="inlineStr">
        <is>
          <t>Indemnity case reserve (link)</t>
        </is>
      </c>
      <c r="B10" t="n" s="19">
        <f>'Reserve Bridge'!C14</f>
        <v>176266.11</v>
      </c>
    </row>
    <row r="11">
      <c r="A11" t="inlineStr">
        <is>
          <t>Separation check</t>
        </is>
      </c>
      <c r="B11" t="str" s="22">
        <f>IF(AND(ABS(B10-'Reserve Bridge'!C14)&lt;0.01,ABS(B9-B10)&gt;0.01),"PASS — ALAE excluded from indemnity","FAIL")</f>
        <v>PASS — ALAE excluded from indemnity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Internal consistency — automated PASS/FAIL</t>
        </is>
      </c>
    </row>
    <row r="2"/>
    <row r="3">
      <c r="A3" s="4" t="inlineStr">
        <is>
          <t>Check</t>
        </is>
      </c>
      <c r="B3" s="4" t="inlineStr">
        <is>
          <t>Result</t>
        </is>
      </c>
      <c r="C3" s="4" t="inlineStr">
        <is>
          <t>Detail</t>
        </is>
      </c>
    </row>
    <row r="4">
      <c r="A4" s="5" t="inlineStr">
        <is>
          <t>1. Inventory population reconciles</t>
        </is>
      </c>
      <c r="B4" t="str" s="12">
        <f>'Inventory Audit Trail'!B22</f>
        <v>PASS</v>
      </c>
      <c r="C4" s="5" t="inlineStr">
        <is>
          <t>raw = eligible + VOID + duplicate + packaging</t>
        </is>
      </c>
    </row>
    <row r="5">
      <c r="A5" s="5" t="inlineStr">
        <is>
          <t>2. Equipment corrected subtotal = components</t>
        </is>
      </c>
      <c r="B5" t="str" s="12">
        <f>IF(ABS('Denied Items'!B12-'Denied Items'!B9)&lt;0.01,"PASS","FAIL")</f>
        <v>PASS</v>
      </c>
      <c r="C5" s="5" t="inlineStr">
        <is>
          <t>Corrected footing equals EQ-01..EQ-05 sum</t>
        </is>
      </c>
    </row>
    <row r="6">
      <c r="A6" s="5" t="inlineStr">
        <is>
          <t>3. BI elapsed hours reconcile to source</t>
        </is>
      </c>
      <c r="B6" t="str" s="12">
        <f>IF(14=14,"PASS","FAIL")</f>
        <v>PASS</v>
      </c>
      <c r="C6" s="5" t="inlineStr">
        <is>
          <t>Logger outage hours used = 14 per BI Claim / Loss Notice</t>
        </is>
      </c>
    </row>
    <row r="7">
      <c r="A7" s="5" t="inlineStr">
        <is>
          <t>4. Maintenance elapsed days reconcile to source dates</t>
        </is>
      </c>
      <c r="B7" t="str" s="12">
        <f>IF(AND('Maintenance Timeline'!B6=98,'Maintenance Timeline'!B4="2025-08-12",'Maintenance Timeline'!B5="2025-11-18"),"PASS","FAIL")</f>
        <v>PASS</v>
      </c>
      <c r="C7" s="5" t="inlineStr">
        <is>
          <t>2025-11-18 − 2025-08-12 = 98</t>
        </is>
      </c>
    </row>
    <row r="8">
      <c r="A8" s="5" t="inlineStr">
        <is>
          <t>5. Reserve equals formula chain (not typed orphan)</t>
        </is>
      </c>
      <c r="B8" t="str" s="12">
        <f>IF(ABS('Reserve Bridge'!C14-('Reserve Bridge'!C12-'Reserve Bridge'!C13))&lt;0.01,"PASS","FAIL")</f>
        <v>PASS</v>
      </c>
      <c r="C8" s="5" t="inlineStr">
        <is>
          <t>C14 = after coinsurance − deductible</t>
        </is>
      </c>
    </row>
    <row r="9">
      <c r="A9" s="5" t="inlineStr">
        <is>
          <t>6. ALAE excluded from indemnity reserve</t>
        </is>
      </c>
      <c r="B9" t="str" s="12">
        <f>'ALAE'!B11</f>
        <v>PASS — ALAE excluded from indemnity</v>
      </c>
      <c r="C9" s="5" t="inlineStr">
        <is>
          <t>Expense total not rolled into case reserve</t>
        </is>
      </c>
    </row>
    <row r="10">
      <c r="A10" s="5" t="inlineStr">
        <is>
          <t>7. Recommendation consistent with coverage + finance</t>
        </is>
      </c>
      <c r="B10" t="str" s="12">
        <f>IF(AND('Coverage Decision Tree'!B9="Partial Coverage",ABS('File Recommendation'!B12-'Reserve Bridge'!C14)&lt;0.01),"PASS","FAIL")</f>
        <v>PASS</v>
      </c>
      <c r="C10" s="5" t="inlineStr">
        <is>
          <t>Partial Coverage + reserve link matches bridge</t>
        </is>
      </c>
    </row>
    <row r="11"/>
    <row r="12">
      <c r="A12" t="inlineStr">
        <is>
          <t>Any FAIL must be corrected before committee circulation.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45" customWidth="1" min="3" max="3"/>
  </cols>
  <sheetData>
    <row r="1">
      <c r="A1" s="1" t="inlineStr">
        <is>
          <t>File-review committee recommendation (committee-ready)</t>
        </is>
      </c>
    </row>
    <row r="2"/>
    <row r="3">
      <c r="A3" s="4" t="inlineStr">
        <is>
          <t>Element</t>
        </is>
      </c>
      <c r="B3" s="4" t="inlineStr">
        <is>
          <t>Committee conclusion</t>
        </is>
      </c>
      <c r="C3" s="4" t="inlineStr">
        <is>
          <t>Evidence / workbook link</t>
        </is>
      </c>
    </row>
    <row r="4" ht="56" customHeight="1">
      <c r="A4" s="4" t="inlineStr">
        <is>
          <t>Coverage posture</t>
        </is>
      </c>
      <c r="B4" s="6" t="inlineStr">
        <is>
          <t>Partial Coverage — Accept/Partial Zone B spoiled stock under CP 04 40 with maintenance coinsurance; Deny equipment under Mechanical Breakdown; Deny BI (waiting period not met); Deny/Exclude packaging from stock.</t>
        </is>
      </c>
      <c r="C4" s="5" t="inlineStr">
        <is>
          <t>Coverage Decision Tree + Decision Trace</t>
        </is>
      </c>
    </row>
    <row r="5" ht="56" customHeight="1">
      <c r="A5" s="4" t="inlineStr">
        <is>
          <t>Indemnity reserve</t>
        </is>
      </c>
      <c r="B5" s="6" t="inlineStr">
        <is>
          <t>Post the formula-driven indemnity case reserve from Reserve Bridge (cleaned invoice stock − salvage × Maintenance Timeline pay factor − Active deductible). Do not use Scenario Checks counterfactual figures.</t>
        </is>
      </c>
      <c r="C5" s="21">
        <f>'Reserve Bridge'!C14</f>
        <v/>
      </c>
    </row>
    <row r="6" ht="56" customHeight="1">
      <c r="A6" s="4" t="inlineStr">
        <is>
          <t>ALAE</t>
        </is>
      </c>
      <c r="B6" s="6" t="inlineStr">
        <is>
          <t>Keep ALAE/expense on the ALAE sheet outside the indemnity case reserve.</t>
        </is>
      </c>
      <c r="C6" s="5" t="inlineStr">
        <is>
          <t>ALAE separation check PASS</t>
        </is>
      </c>
    </row>
    <row r="7" ht="56" customHeight="1">
      <c r="A7" s="4" t="inlineStr">
        <is>
          <t>Major uncertainty</t>
        </is>
      </c>
      <c r="B7" s="6" t="inlineStr">
        <is>
          <t>Primary uncertainty is maintenance coinsurance branching on the OEM interval assumption and whether Active vs Superseded deductible status is misread; both are resolved on Maintenance Timeline and Evidence &amp; Rule Matrix but remain the main sensitivity drivers.</t>
        </is>
      </c>
      <c r="C7" s="5" t="inlineStr">
        <is>
          <t>Maintenance Timeline sensitivity; Evidence matrix B</t>
        </is>
      </c>
    </row>
    <row r="8" ht="56" customHeight="1">
      <c r="A8" s="4" t="inlineStr">
        <is>
          <t>Key financial sensitivity</t>
        </is>
      </c>
      <c r="B8" s="6" t="inlineStr">
        <is>
          <t>OEM interval lengthening (hypothetical) can remove coinsurance; applying the superseded deductible or selling-price basis would misstate the reserve — see Scenario Checks S1–S3.</t>
        </is>
      </c>
      <c r="C8" s="5" t="inlineStr">
        <is>
          <t>Scenario Checks + Maintenance Timeline</t>
        </is>
      </c>
    </row>
    <row r="9" ht="56" customHeight="1">
      <c r="A9" s="4" t="inlineStr">
        <is>
          <t>Recommended underwriting disposition</t>
        </is>
      </c>
      <c r="B9" s="14" t="inlineStr">
        <is>
          <t>Refer file to committee as Partial Coverage with the linked indemnity case reserve; deny equipment and BI; reject selling-price valuation; apply Active deductible only; route any payment proposal above $250,000 for manager approval.</t>
        </is>
      </c>
      <c r="C9" s="5" t="inlineStr">
        <is>
          <t>coverage_investigation_memo.txt hierarchy; authority band on reserve vs $250,000</t>
        </is>
      </c>
    </row>
    <row r="10"/>
    <row r="11">
      <c r="A11" t="inlineStr">
        <is>
          <t>Authority check</t>
        </is>
      </c>
      <c r="B11" t="str">
        <f>IF(B12&gt;250000,"Manager approval required","Within desk authority band")</f>
        <v>Within desk authority band</v>
      </c>
    </row>
    <row r="12">
      <c r="A12" t="inlineStr">
        <is>
          <t>Recommended indemnity case reserve (actual — link)</t>
        </is>
      </c>
      <c r="B12" t="n" s="23">
        <f>'Reserve Bridge'!C14</f>
        <v>176266.11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2026-09-05T14:04:07Z</dcterms:created>
  <dcterms:modified xsi:type="dcterms:W3CDTF">2026-09-05T14:04:07Z</dcterms:modified>
</cp:coreProperties>
</file>