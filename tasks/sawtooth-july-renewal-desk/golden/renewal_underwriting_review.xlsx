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Routing" sheetId="1" state="visible" r:id="rId1"/>
    <sheet name="Location_Exceptions" sheetId="2" state="visible" r:id="rId2"/>
    <sheet name="Loss_Reconciliation" sheetId="3" state="visible" r:id="rId3"/>
    <sheet name="Rules_Citation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named_insured</t>
        </is>
      </c>
      <c r="C1" t="inlineStr">
        <is>
          <t>expiring_premium</t>
        </is>
      </c>
      <c r="D1" t="inlineStr">
        <is>
          <t>list_loss_ratio</t>
        </is>
      </c>
      <c r="E1" t="inlineStr">
        <is>
          <t>recomputed_loss_ratio</t>
        </is>
      </c>
      <c r="F1" t="inlineStr">
        <is>
          <t>disposition</t>
        </is>
      </c>
      <c r="G1" t="inlineStr">
        <is>
          <t>rationale</t>
        </is>
      </c>
    </row>
    <row r="2">
      <c r="A2" t="inlineStr">
        <is>
          <t>SI-1001</t>
        </is>
      </c>
      <c r="B2" t="inlineStr">
        <is>
          <t>Piedmont Coil Works (SI-1001)</t>
        </is>
      </c>
      <c r="C2" t="n">
        <v>124204.61</v>
      </c>
      <c r="D2" t="n">
        <v>33.1</v>
      </c>
      <c r="E2" t="n">
        <v>23.5</v>
      </c>
      <c r="F2" t="inlineStr">
        <is>
          <t>Quote</t>
        </is>
      </c>
      <c r="G2" t="inlineStr">
        <is>
          <t>Clean renewal path under underwriting_rules_notes.txt</t>
        </is>
      </c>
    </row>
    <row r="3">
      <c r="A3" t="inlineStr">
        <is>
          <t>SI-1004</t>
        </is>
      </c>
      <c r="B3" t="inlineStr">
        <is>
          <t>Delta Packaging LLC (SI-1004)</t>
        </is>
      </c>
      <c r="C3" t="n">
        <v>95754.63</v>
      </c>
      <c r="D3" t="n">
        <v>35.7</v>
      </c>
      <c r="E3" t="n">
        <v>12.7</v>
      </c>
      <c r="F3" t="inlineStr">
        <is>
          <t>Quote</t>
        </is>
      </c>
      <c r="G3" t="inlineStr">
        <is>
          <t>Clean renewal path under underwriting_rules_notes.txt</t>
        </is>
      </c>
    </row>
    <row r="4">
      <c r="A4" t="inlineStr">
        <is>
          <t>SI-1007</t>
        </is>
      </c>
      <c r="B4" t="inlineStr">
        <is>
          <t>Sunbelt Metal Fab (SI-1007)</t>
        </is>
      </c>
      <c r="C4" t="n">
        <v>72138.1</v>
      </c>
      <c r="D4" t="n">
        <v>17.7</v>
      </c>
      <c r="E4" t="n">
        <v>12.4</v>
      </c>
      <c r="F4" t="inlineStr">
        <is>
          <t>Quote</t>
        </is>
      </c>
      <c r="G4" t="inlineStr">
        <is>
          <t>Clean renewal path under underwriting_rules_notes.txt</t>
        </is>
      </c>
    </row>
    <row r="5">
      <c r="A5" t="inlineStr">
        <is>
          <t>SI-1010</t>
        </is>
      </c>
      <c r="B5" t="inlineStr">
        <is>
          <t>Carolina Adhesives (SI-1010)</t>
        </is>
      </c>
      <c r="C5" t="n">
        <v>96238.67</v>
      </c>
      <c r="D5" t="n">
        <v>19</v>
      </c>
      <c r="E5" t="n">
        <v>30.7</v>
      </c>
      <c r="F5" t="inlineStr">
        <is>
          <t>Quote</t>
        </is>
      </c>
      <c r="G5" t="inlineStr">
        <is>
          <t>Clean renewal path under underwriting_rules_notes.txt</t>
        </is>
      </c>
    </row>
    <row r="6">
      <c r="A6" t="inlineStr">
        <is>
          <t>SI-1015</t>
        </is>
      </c>
      <c r="B6" t="inlineStr">
        <is>
          <t>Lowcountry Plastics (SI-1015)</t>
        </is>
      </c>
      <c r="C6" t="n">
        <v>67340</v>
      </c>
      <c r="D6" t="n">
        <v>22.4</v>
      </c>
      <c r="E6" t="n">
        <v>22.2</v>
      </c>
      <c r="F6" t="inlineStr">
        <is>
          <t>Quote</t>
        </is>
      </c>
      <c r="G6" t="inlineStr">
        <is>
          <t>Clean renewal path under underwriting_rules_notes.txt</t>
        </is>
      </c>
    </row>
    <row r="7">
      <c r="A7" t="inlineStr">
        <is>
          <t>SI-1018</t>
        </is>
      </c>
      <c r="B7" t="inlineStr">
        <is>
          <t>Tri-Rivers Warehousing (SI-1018)</t>
        </is>
      </c>
      <c r="C7" t="n">
        <v>57474.34</v>
      </c>
      <c r="D7" t="n">
        <v>31</v>
      </c>
      <c r="E7" t="n">
        <v>25.8</v>
      </c>
      <c r="F7" t="inlineStr">
        <is>
          <t>Quote</t>
        </is>
      </c>
      <c r="G7" t="inlineStr">
        <is>
          <t>Clean renewal path under underwriting_rules_notes.txt</t>
        </is>
      </c>
    </row>
    <row r="8">
      <c r="A8" t="inlineStr">
        <is>
          <t>SI-1021</t>
        </is>
      </c>
      <c r="B8" t="inlineStr">
        <is>
          <t>Gulf Shore Machining (SI-1021)</t>
        </is>
      </c>
      <c r="C8" t="n">
        <v>95680</v>
      </c>
      <c r="D8" t="n">
        <v>31.2</v>
      </c>
      <c r="E8" t="n">
        <v>14.4</v>
      </c>
      <c r="F8" t="inlineStr">
        <is>
          <t>Refer</t>
        </is>
      </c>
      <c r="G8" t="inlineStr">
        <is>
          <t>Section 4 refer: TIV variance 9.3% between renewal_account_list.csv and policy_location_schedule.csv</t>
        </is>
      </c>
    </row>
    <row r="9">
      <c r="A9" t="inlineStr">
        <is>
          <t>SI-1024</t>
        </is>
      </c>
      <c r="B9" t="inlineStr">
        <is>
          <t>Appalachian Foods (SI-1024)</t>
        </is>
      </c>
      <c r="C9" t="n">
        <v>57346.44</v>
      </c>
      <c r="D9" t="n">
        <v>26.3</v>
      </c>
      <c r="E9" t="n">
        <v>12.1</v>
      </c>
      <c r="F9" t="inlineStr">
        <is>
          <t>Quote</t>
        </is>
      </c>
      <c r="G9" t="inlineStr">
        <is>
          <t>Clean renewal path under underwriting_rules_notes.txt</t>
        </is>
      </c>
    </row>
    <row r="10">
      <c r="A10" t="inlineStr">
        <is>
          <t>SI-1027</t>
        </is>
      </c>
      <c r="B10" t="inlineStr">
        <is>
          <t>Meridian Conveyor (SI-1027)</t>
        </is>
      </c>
      <c r="C10" t="n">
        <v>97746.89</v>
      </c>
      <c r="D10" t="n">
        <v>35.8</v>
      </c>
      <c r="E10" t="n">
        <v>17.1</v>
      </c>
      <c r="F10" t="inlineStr">
        <is>
          <t>Quote</t>
        </is>
      </c>
      <c r="G10" t="inlineStr">
        <is>
          <t>Clean renewal path under underwriting_rules_notes.txt</t>
        </is>
      </c>
    </row>
    <row r="11">
      <c r="A11" t="inlineStr">
        <is>
          <t>SI-1030</t>
        </is>
      </c>
      <c r="B11" t="inlineStr">
        <is>
          <t>Oak Hollow Lumber (SI-1030)</t>
        </is>
      </c>
      <c r="C11" t="n">
        <v>95765.06</v>
      </c>
      <c r="D11" t="n">
        <v>18.8</v>
      </c>
      <c r="E11" t="n">
        <v>17.9</v>
      </c>
      <c r="F11" t="inlineStr">
        <is>
          <t>Quote</t>
        </is>
      </c>
      <c r="G11" t="inlineStr">
        <is>
          <t>Clean renewal path under underwriting_rules_notes.txt</t>
        </is>
      </c>
    </row>
    <row r="12">
      <c r="A12" t="inlineStr">
        <is>
          <t>SI-1033</t>
        </is>
      </c>
      <c r="B12" t="inlineStr">
        <is>
          <t>Coastal Crate Co (SI-1033)</t>
        </is>
      </c>
      <c r="C12" t="n">
        <v>58420</v>
      </c>
      <c r="D12" t="n">
        <v>27.8</v>
      </c>
      <c r="E12" t="n">
        <v>17.4</v>
      </c>
      <c r="F12" t="inlineStr">
        <is>
          <t>Ask Broker</t>
        </is>
      </c>
      <c r="G12" t="inlineStr">
        <is>
          <t>Section 6 Ask Broker: ORL-1033-B vacancy without broker confirmation</t>
        </is>
      </c>
    </row>
    <row r="13">
      <c r="A13" t="inlineStr">
        <is>
          <t>SI-1036</t>
        </is>
      </c>
      <c r="B13" t="inlineStr">
        <is>
          <t>Riverbend Chemical (SI-1036)</t>
        </is>
      </c>
      <c r="C13" t="n">
        <v>73717.56</v>
      </c>
      <c r="D13" t="n">
        <v>25</v>
      </c>
      <c r="E13" t="n">
        <v>24.1</v>
      </c>
      <c r="F13" t="inlineStr">
        <is>
          <t>Quote</t>
        </is>
      </c>
      <c r="G13" t="inlineStr">
        <is>
          <t>Clean renewal path under underwriting_rules_notes.txt</t>
        </is>
      </c>
    </row>
    <row r="14">
      <c r="A14" t="inlineStr">
        <is>
          <t>SI-1039</t>
        </is>
      </c>
      <c r="B14" t="inlineStr">
        <is>
          <t>Summit Fasteners (SI-1039)</t>
        </is>
      </c>
      <c r="C14" t="n">
        <v>73221.62</v>
      </c>
      <c r="D14" t="n">
        <v>16.3</v>
      </c>
      <c r="E14" t="n">
        <v>24.2</v>
      </c>
      <c r="F14" t="inlineStr">
        <is>
          <t>Quote</t>
        </is>
      </c>
      <c r="G14" t="inlineStr">
        <is>
          <t>Clean renewal path under underwriting_rules_notes.txt</t>
        </is>
      </c>
    </row>
    <row r="15">
      <c r="A15" t="inlineStr">
        <is>
          <t>SI-1042</t>
        </is>
      </c>
      <c r="B15" t="inlineStr">
        <is>
          <t>Harbor Industrial Supply (SI-1042)</t>
        </is>
      </c>
      <c r="C15" t="n">
        <v>562400</v>
      </c>
      <c r="D15" t="n">
        <v>38.1</v>
      </c>
      <c r="E15" t="n">
        <v>50.4</v>
      </c>
      <c r="F15" t="inlineStr">
        <is>
          <t>Refer</t>
        </is>
      </c>
      <c r="G15" t="inlineStr">
        <is>
          <t>Section 3 refer: recomputed LR 50.4% from loss_run_36mo.csv; Section 3 refer: ORL-1042-B incurred $278,400 per loss_run_36mo.csv</t>
        </is>
      </c>
    </row>
    <row r="16">
      <c r="A16" t="inlineStr">
        <is>
          <t>SI-1045</t>
        </is>
      </c>
      <c r="B16" t="inlineStr">
        <is>
          <t>Blue Ridge Motors (SI-1045)</t>
        </is>
      </c>
      <c r="C16" t="n">
        <v>67643.57</v>
      </c>
      <c r="D16" t="n">
        <v>20.9</v>
      </c>
      <c r="E16" t="n">
        <v>29.4</v>
      </c>
      <c r="F16" t="inlineStr">
        <is>
          <t>Refer</t>
        </is>
      </c>
      <c r="G16" t="inlineStr">
        <is>
          <t>Section 5 coastal endorsement required: ORL-1045-A zone CW-2</t>
        </is>
      </c>
    </row>
    <row r="17">
      <c r="A17" t="inlineStr">
        <is>
          <t>SI-1048</t>
        </is>
      </c>
      <c r="B17" t="inlineStr">
        <is>
          <t>Magnolia Textiles (SI-1048)</t>
        </is>
      </c>
      <c r="C17" t="n">
        <v>82631.72</v>
      </c>
      <c r="D17" t="n">
        <v>35.9</v>
      </c>
      <c r="E17" t="n">
        <v>18.8</v>
      </c>
      <c r="F17" t="inlineStr">
        <is>
          <t>Quote</t>
        </is>
      </c>
      <c r="G17" t="inlineStr">
        <is>
          <t>Clean renewal path under underwriting_rules_notes.txt</t>
        </is>
      </c>
    </row>
    <row r="18">
      <c r="A18" t="inlineStr">
        <is>
          <t>SI-1051</t>
        </is>
      </c>
      <c r="B18" t="inlineStr">
        <is>
          <t>Keystone Pallet (SI-1051)</t>
        </is>
      </c>
      <c r="C18" t="n">
        <v>64712.23</v>
      </c>
      <c r="D18" t="n">
        <v>19.3</v>
      </c>
      <c r="E18" t="n">
        <v>30.8</v>
      </c>
      <c r="F18" t="inlineStr">
        <is>
          <t>Quote</t>
        </is>
      </c>
      <c r="G18" t="inlineStr">
        <is>
          <t>Clean renewal path under underwriting_rules_notes.txt</t>
        </is>
      </c>
    </row>
    <row r="19">
      <c r="A19" t="inlineStr">
        <is>
          <t>SI-1054</t>
        </is>
      </c>
      <c r="B19" t="inlineStr">
        <is>
          <t>Cumberland Pipe (SI-1054)</t>
        </is>
      </c>
      <c r="C19" t="n">
        <v>60833.21</v>
      </c>
      <c r="D19" t="n">
        <v>28.6</v>
      </c>
      <c r="E19" t="n">
        <v>18.5</v>
      </c>
      <c r="F19" t="inlineStr">
        <is>
          <t>Quote</t>
        </is>
      </c>
      <c r="G19" t="inlineStr">
        <is>
          <t>Clean renewal path under underwriting_rules_notes.txt</t>
        </is>
      </c>
    </row>
    <row r="20">
      <c r="A20" t="inlineStr">
        <is>
          <t>SI-1057</t>
        </is>
      </c>
      <c r="B20" t="inlineStr">
        <is>
          <t>Bayou Fabrication (SI-1057)</t>
        </is>
      </c>
      <c r="C20" t="n">
        <v>84084.76</v>
      </c>
      <c r="D20" t="n">
        <v>17.3</v>
      </c>
      <c r="E20" t="n">
        <v>15.9</v>
      </c>
      <c r="F20" t="inlineStr">
        <is>
          <t>Quote</t>
        </is>
      </c>
      <c r="G20" t="inlineStr">
        <is>
          <t>Clean renewal path under underwriting_rules_notes.txt</t>
        </is>
      </c>
    </row>
    <row r="21">
      <c r="A21" t="inlineStr">
        <is>
          <t>SI-1060</t>
        </is>
      </c>
      <c r="B21" t="inlineStr">
        <is>
          <t>Highland Gear (SI-1060)</t>
        </is>
      </c>
      <c r="C21" t="n">
        <v>77098.06</v>
      </c>
      <c r="D21" t="n">
        <v>33.9</v>
      </c>
      <c r="E21" t="n">
        <v>9</v>
      </c>
      <c r="F21" t="inlineStr">
        <is>
          <t>Quote</t>
        </is>
      </c>
      <c r="G21" t="inlineStr">
        <is>
          <t>Clean renewal path under underwriting_rules_notes.txt</t>
        </is>
      </c>
    </row>
    <row r="22">
      <c r="A22" t="inlineStr">
        <is>
          <t>SI-1063</t>
        </is>
      </c>
      <c r="B22" t="inlineStr">
        <is>
          <t>Piedmont Coil Works (SI-1063)</t>
        </is>
      </c>
      <c r="C22" t="n">
        <v>124923.77</v>
      </c>
      <c r="D22" t="n">
        <v>29.5</v>
      </c>
      <c r="E22" t="n">
        <v>9</v>
      </c>
      <c r="F22" t="inlineStr">
        <is>
          <t>Quote</t>
        </is>
      </c>
      <c r="G22" t="inlineStr">
        <is>
          <t>Clean renewal path under underwriting_rules_notes.txt</t>
        </is>
      </c>
    </row>
    <row r="23">
      <c r="A23" t="inlineStr">
        <is>
          <t>SI-1066</t>
        </is>
      </c>
      <c r="B23" t="inlineStr">
        <is>
          <t>Delta Packaging LLC (SI-1066)</t>
        </is>
      </c>
      <c r="C23" t="n">
        <v>95075.18</v>
      </c>
      <c r="D23" t="n">
        <v>15.2</v>
      </c>
      <c r="E23" t="n">
        <v>29.9</v>
      </c>
      <c r="F23" t="inlineStr">
        <is>
          <t>Quote</t>
        </is>
      </c>
      <c r="G23" t="inlineStr">
        <is>
          <t>Clean renewal path under underwriting_rules_notes.txt</t>
        </is>
      </c>
    </row>
    <row r="24">
      <c r="A24" t="inlineStr">
        <is>
          <t>SI-1069</t>
        </is>
      </c>
      <c r="B24" t="inlineStr">
        <is>
          <t>Sunbelt Metal Fab (SI-1069)</t>
        </is>
      </c>
      <c r="C24" t="n">
        <v>69538.28</v>
      </c>
      <c r="D24" t="n">
        <v>31.6</v>
      </c>
      <c r="E24" t="n">
        <v>29</v>
      </c>
      <c r="F24" t="inlineStr">
        <is>
          <t>Quote</t>
        </is>
      </c>
      <c r="G24" t="inlineStr">
        <is>
          <t>Clean renewal path under underwriting_rules_notes.txt</t>
        </is>
      </c>
    </row>
    <row r="25">
      <c r="A25" t="inlineStr">
        <is>
          <t>SI-1072</t>
        </is>
      </c>
      <c r="B25" t="inlineStr">
        <is>
          <t>Carolina Adhesives (SI-1072)</t>
        </is>
      </c>
      <c r="C25" t="n">
        <v>66177.59</v>
      </c>
      <c r="D25" t="n">
        <v>33.7</v>
      </c>
      <c r="E25" t="n">
        <v>27.9</v>
      </c>
      <c r="F25" t="inlineStr">
        <is>
          <t>Refer</t>
        </is>
      </c>
      <c r="G25" t="inlineStr">
        <is>
          <t>Section 5 coastal endorsement required: ORL-1072-A zone CW-1</t>
        </is>
      </c>
    </row>
    <row r="26">
      <c r="A26" t="inlineStr">
        <is>
          <t>SI-1075</t>
        </is>
      </c>
      <c r="B26" t="inlineStr">
        <is>
          <t>Lowcountry Plastics (SI-1075)</t>
        </is>
      </c>
      <c r="C26" t="n">
        <v>119914.42</v>
      </c>
      <c r="D26" t="n">
        <v>15.1</v>
      </c>
      <c r="E26" t="n">
        <v>16.7</v>
      </c>
      <c r="F26" t="inlineStr">
        <is>
          <t>Quote</t>
        </is>
      </c>
      <c r="G26" t="inlineStr">
        <is>
          <t>Clean renewal path under underwriting_rules_notes.txt</t>
        </is>
      </c>
    </row>
    <row r="27">
      <c r="A27" t="inlineStr">
        <is>
          <t>SI-1078</t>
        </is>
      </c>
      <c r="B27" t="inlineStr">
        <is>
          <t>Tri-Rivers Warehousing (SI-1078)</t>
        </is>
      </c>
      <c r="C27" t="n">
        <v>64742.79</v>
      </c>
      <c r="D27" t="n">
        <v>14.9</v>
      </c>
      <c r="E27" t="n">
        <v>9.9</v>
      </c>
      <c r="F27" t="inlineStr">
        <is>
          <t>Quote</t>
        </is>
      </c>
      <c r="G27" t="inlineStr">
        <is>
          <t>Clean renewal path under underwriting_rules_notes.txt</t>
        </is>
      </c>
    </row>
    <row r="28">
      <c r="A28" t="inlineStr">
        <is>
          <t>SI-1081</t>
        </is>
      </c>
      <c r="B28" t="inlineStr">
        <is>
          <t>Gulf Shore Machining (SI-1081)</t>
        </is>
      </c>
      <c r="C28" t="n">
        <v>79484.99</v>
      </c>
      <c r="D28" t="n">
        <v>21.2</v>
      </c>
      <c r="E28" t="n">
        <v>24</v>
      </c>
      <c r="F28" t="inlineStr">
        <is>
          <t>Quote</t>
        </is>
      </c>
      <c r="G28" t="inlineStr">
        <is>
          <t>Clean renewal path under underwriting_rules_notes.txt</t>
        </is>
      </c>
    </row>
    <row r="29">
      <c r="A29" t="inlineStr">
        <is>
          <t>SI-1084</t>
        </is>
      </c>
      <c r="B29" t="inlineStr">
        <is>
          <t>Appalachian Foods (SI-1084)</t>
        </is>
      </c>
      <c r="C29" t="n">
        <v>93380.25</v>
      </c>
      <c r="D29" t="n">
        <v>19</v>
      </c>
      <c r="E29" t="n">
        <v>17.7</v>
      </c>
      <c r="F29" t="inlineStr">
        <is>
          <t>Quote</t>
        </is>
      </c>
      <c r="G29" t="inlineStr">
        <is>
          <t>Clean renewal path under underwriting_rules_notes.txt</t>
        </is>
      </c>
    </row>
    <row r="30">
      <c r="A30" t="inlineStr">
        <is>
          <t>SI-1088</t>
        </is>
      </c>
      <c r="B30" t="inlineStr">
        <is>
          <t>Meridian Conveyor (SI-1088)</t>
        </is>
      </c>
      <c r="C30" t="n">
        <v>71850</v>
      </c>
      <c r="D30" t="n">
        <v>29.7</v>
      </c>
      <c r="E30" t="n">
        <v>21</v>
      </c>
      <c r="F30" t="inlineStr">
        <is>
          <t>Refer</t>
        </is>
      </c>
      <c r="G30" t="inlineStr">
        <is>
          <t>Section 5 refer: ORL-1088-A mitigation pending_roof_po per policy_location_schedule.csv</t>
        </is>
      </c>
    </row>
    <row r="31">
      <c r="A31" t="inlineStr">
        <is>
          <t>SI-1091</t>
        </is>
      </c>
      <c r="B31" t="inlineStr">
        <is>
          <t>Oak Hollow Lumber (SI-1091)</t>
        </is>
      </c>
      <c r="C31" t="n">
        <v>122819.39</v>
      </c>
      <c r="D31" t="n">
        <v>30.3</v>
      </c>
      <c r="E31" t="n">
        <v>25.5</v>
      </c>
      <c r="F31" t="inlineStr">
        <is>
          <t>Quote</t>
        </is>
      </c>
      <c r="G31" t="inlineStr">
        <is>
          <t>Clean renewal path under underwriting_rules_notes.txt</t>
        </is>
      </c>
    </row>
    <row r="32">
      <c r="A32" t="inlineStr">
        <is>
          <t>SI-1094</t>
        </is>
      </c>
      <c r="B32" t="inlineStr">
        <is>
          <t>Coastal Crate Co (SI-1094)</t>
        </is>
      </c>
      <c r="C32" t="n">
        <v>113486.65</v>
      </c>
      <c r="D32" t="n">
        <v>35.4</v>
      </c>
      <c r="E32" t="n">
        <v>23.8</v>
      </c>
      <c r="F32" t="inlineStr">
        <is>
          <t>Refer</t>
        </is>
      </c>
      <c r="G32" t="inlineStr">
        <is>
          <t>Section 5 coastal endorsement required: ORL-1094-B zone CW-2</t>
        </is>
      </c>
    </row>
    <row r="33">
      <c r="A33" t="inlineStr">
        <is>
          <t>SI-1097</t>
        </is>
      </c>
      <c r="B33" t="inlineStr">
        <is>
          <t>Riverbend Chemical (SI-1097)</t>
        </is>
      </c>
      <c r="C33" t="n">
        <v>54165.91</v>
      </c>
      <c r="D33" t="n">
        <v>31.7</v>
      </c>
      <c r="E33" t="n">
        <v>74.4</v>
      </c>
      <c r="F33" t="inlineStr">
        <is>
          <t>Decline</t>
        </is>
      </c>
      <c r="G33" t="inlineStr">
        <is>
          <t>Section 3 decline: recomputed LR 74.4% from loss_run_36mo.csv</t>
        </is>
      </c>
    </row>
    <row r="34">
      <c r="A34" t="inlineStr">
        <is>
          <t>SI-1100</t>
        </is>
      </c>
      <c r="B34" t="inlineStr">
        <is>
          <t>Summit Fasteners (SI-1100)</t>
        </is>
      </c>
      <c r="C34" t="n">
        <v>102192.77</v>
      </c>
      <c r="D34" t="n">
        <v>14.7</v>
      </c>
      <c r="E34" t="n">
        <v>10.6</v>
      </c>
      <c r="F34" t="inlineStr">
        <is>
          <t>Quote</t>
        </is>
      </c>
      <c r="G34" t="inlineStr">
        <is>
          <t>Clean renewal path under underwriting_rules_notes.txt</t>
        </is>
      </c>
    </row>
    <row r="35">
      <c r="A35" t="inlineStr">
        <is>
          <t>SI-1103</t>
        </is>
      </c>
      <c r="B35" t="inlineStr">
        <is>
          <t>Harbor Industrial Supply (SI-1103)</t>
        </is>
      </c>
      <c r="C35" t="n">
        <v>114337.36</v>
      </c>
      <c r="D35" t="n">
        <v>17.5</v>
      </c>
      <c r="E35" t="n">
        <v>40.3</v>
      </c>
      <c r="F35" t="inlineStr">
        <is>
          <t>Quote</t>
        </is>
      </c>
      <c r="G35" t="inlineStr">
        <is>
          <t>Clean renewal path under underwriting_rules_notes.txt</t>
        </is>
      </c>
    </row>
    <row r="36">
      <c r="A36" t="inlineStr">
        <is>
          <t>SI-1106</t>
        </is>
      </c>
      <c r="B36" t="inlineStr">
        <is>
          <t>Blue Ridge Motors (SI-1106)</t>
        </is>
      </c>
      <c r="C36" t="n">
        <v>81485.1</v>
      </c>
      <c r="D36" t="n">
        <v>27.6</v>
      </c>
      <c r="E36" t="n">
        <v>8.1</v>
      </c>
      <c r="F36" t="inlineStr">
        <is>
          <t>Refer</t>
        </is>
      </c>
      <c r="G36" t="inlineStr">
        <is>
          <t>Section 5 coastal endorsement required: ORL-1106-A zone CW-1</t>
        </is>
      </c>
    </row>
    <row r="37">
      <c r="A37" t="inlineStr">
        <is>
          <t>SI-1109</t>
        </is>
      </c>
      <c r="B37" t="inlineStr">
        <is>
          <t>Magnolia Textiles (SI-1109)</t>
        </is>
      </c>
      <c r="C37" t="n">
        <v>77814.93</v>
      </c>
      <c r="D37" t="n">
        <v>34.1</v>
      </c>
      <c r="E37" t="n">
        <v>27.9</v>
      </c>
      <c r="F37" t="inlineStr">
        <is>
          <t>Quote</t>
        </is>
      </c>
      <c r="G37" t="inlineStr">
        <is>
          <t>Clean renewal path under underwriting_rules_notes.txt</t>
        </is>
      </c>
    </row>
    <row r="38">
      <c r="A38" t="inlineStr">
        <is>
          <t>SI-1112</t>
        </is>
      </c>
      <c r="B38" t="inlineStr">
        <is>
          <t>Keystone Pallet (SI-1112)</t>
        </is>
      </c>
      <c r="C38" t="n">
        <v>87244.93</v>
      </c>
      <c r="D38" t="n">
        <v>21.6</v>
      </c>
      <c r="E38" t="n">
        <v>22.4</v>
      </c>
      <c r="F38" t="inlineStr">
        <is>
          <t>Quote</t>
        </is>
      </c>
      <c r="G38" t="inlineStr">
        <is>
          <t>Clean renewal path under underwriting_rules_notes.txt</t>
        </is>
      </c>
    </row>
    <row r="39">
      <c r="A39" t="inlineStr">
        <is>
          <t>SI-1156</t>
        </is>
      </c>
      <c r="B39" t="inlineStr">
        <is>
          <t>Cumberland Pipe (SI-1156)</t>
        </is>
      </c>
      <c r="C39" t="n">
        <v>112400</v>
      </c>
      <c r="D39" t="n">
        <v>52</v>
      </c>
      <c r="E39" t="n">
        <v>95.8</v>
      </c>
      <c r="F39" t="inlineStr">
        <is>
          <t>Decline</t>
        </is>
      </c>
      <c r="G39" t="inlineStr">
        <is>
          <t>Section 3 decline: recomputed LR 95.8% from loss_run_36mo.csv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location_or_account</t>
        </is>
      </c>
      <c r="B1" t="inlineStr">
        <is>
          <t>account_id</t>
        </is>
      </c>
      <c r="C1" t="inlineStr">
        <is>
          <t>exception_type</t>
        </is>
      </c>
      <c r="D1" t="inlineStr">
        <is>
          <t>detail</t>
        </is>
      </c>
      <c r="E1" t="inlineStr">
        <is>
          <t>source</t>
        </is>
      </c>
    </row>
    <row r="2">
      <c r="A2" t="inlineStr">
        <is>
          <t>SI-1021</t>
        </is>
      </c>
      <c r="B2" t="inlineStr">
        <is>
          <t>SI-1021</t>
        </is>
      </c>
      <c r="C2" t="inlineStr">
        <is>
          <t>Account TIV does not tie to locations</t>
        </is>
      </c>
      <c r="D2" t="inlineStr">
        <is>
          <t>variance $1,162,661</t>
        </is>
      </c>
      <c r="E2" t="inlineStr">
        <is>
          <t>renewal_account_list.csv; policy_location_schedule.csv</t>
        </is>
      </c>
    </row>
    <row r="3">
      <c r="A3" t="inlineStr">
        <is>
          <t>ORL-1033-B</t>
        </is>
      </c>
      <c r="B3" t="inlineStr">
        <is>
          <t>SI-1033</t>
        </is>
      </c>
      <c r="C3" t="inlineStr">
        <is>
          <t>Vacancy pending broker update</t>
        </is>
      </c>
      <c r="D3" t="inlineStr">
        <is>
          <t>vacancy_flag=Y</t>
        </is>
      </c>
      <c r="E3" t="inlineStr">
        <is>
          <t>policy_location_schedule.csv</t>
        </is>
      </c>
    </row>
    <row r="4">
      <c r="A4" t="inlineStr">
        <is>
          <t>ORL-1045-A</t>
        </is>
      </c>
      <c r="B4" t="inlineStr">
        <is>
          <t>SI-1045</t>
        </is>
      </c>
      <c r="C4" t="inlineStr">
        <is>
          <t>Coastal wind endorsement required</t>
        </is>
      </c>
      <c r="D4" t="inlineStr">
        <is>
          <t>CW-2</t>
        </is>
      </c>
      <c r="E4" t="inlineStr">
        <is>
          <t>policy_location_schedule.csv</t>
        </is>
      </c>
    </row>
    <row r="5">
      <c r="A5" t="inlineStr">
        <is>
          <t>ORL-1072-A</t>
        </is>
      </c>
      <c r="B5" t="inlineStr">
        <is>
          <t>SI-1072</t>
        </is>
      </c>
      <c r="C5" t="inlineStr">
        <is>
          <t>Coastal wind endorsement required</t>
        </is>
      </c>
      <c r="D5" t="inlineStr">
        <is>
          <t>CW-1</t>
        </is>
      </c>
      <c r="E5" t="inlineStr">
        <is>
          <t>policy_location_schedule.csv</t>
        </is>
      </c>
    </row>
    <row r="6">
      <c r="A6" t="inlineStr">
        <is>
          <t>ORL-1088-A</t>
        </is>
      </c>
      <c r="B6" t="inlineStr">
        <is>
          <t>SI-1088</t>
        </is>
      </c>
      <c r="C6" t="inlineStr">
        <is>
          <t>Pending mitigation</t>
        </is>
      </c>
      <c r="D6" t="inlineStr">
        <is>
          <t>pending_roof_po</t>
        </is>
      </c>
      <c r="E6" t="inlineStr">
        <is>
          <t>policy_location_schedule.csv</t>
        </is>
      </c>
    </row>
    <row r="7">
      <c r="A7" t="inlineStr">
        <is>
          <t>ORL-1094-B</t>
        </is>
      </c>
      <c r="B7" t="inlineStr">
        <is>
          <t>SI-1094</t>
        </is>
      </c>
      <c r="C7" t="inlineStr">
        <is>
          <t>Coastal wind endorsement required</t>
        </is>
      </c>
      <c r="D7" t="inlineStr">
        <is>
          <t>CW-2</t>
        </is>
      </c>
      <c r="E7" t="inlineStr">
        <is>
          <t>policy_location_schedule.csv</t>
        </is>
      </c>
    </row>
    <row r="8">
      <c r="A8" t="inlineStr">
        <is>
          <t>ORL-1106-A</t>
        </is>
      </c>
      <c r="B8" t="inlineStr">
        <is>
          <t>SI-1106</t>
        </is>
      </c>
      <c r="C8" t="inlineStr">
        <is>
          <t>Coastal wind endorsement required</t>
        </is>
      </c>
      <c r="D8" t="inlineStr">
        <is>
          <t>CW-1</t>
        </is>
      </c>
      <c r="E8" t="inlineStr">
        <is>
          <t>policy_location_schedule.csv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list_loss_ratio</t>
        </is>
      </c>
      <c r="C1" t="inlineStr">
        <is>
          <t>recomputed_loss_ratio</t>
        </is>
      </c>
      <c r="D1" t="inlineStr">
        <is>
          <t>delta</t>
        </is>
      </c>
      <c r="E1" t="inlineStr">
        <is>
          <t>source</t>
        </is>
      </c>
    </row>
    <row r="2">
      <c r="A2" t="inlineStr">
        <is>
          <t>SI-1001</t>
        </is>
      </c>
      <c r="B2" t="n">
        <v>33.1</v>
      </c>
      <c r="C2" t="n">
        <v>23.5</v>
      </c>
      <c r="D2" t="n">
        <v>-9.6</v>
      </c>
      <c r="E2" t="inlineStr">
        <is>
          <t>loss_run_36mo.csv vs renewal_account_list.csv</t>
        </is>
      </c>
    </row>
    <row r="3">
      <c r="A3" t="inlineStr">
        <is>
          <t>SI-1004</t>
        </is>
      </c>
      <c r="B3" t="n">
        <v>35.7</v>
      </c>
      <c r="C3" t="n">
        <v>12.7</v>
      </c>
      <c r="D3" t="n">
        <v>-23</v>
      </c>
      <c r="E3" t="inlineStr">
        <is>
          <t>loss_run_36mo.csv vs renewal_account_list.csv</t>
        </is>
      </c>
    </row>
    <row r="4">
      <c r="A4" t="inlineStr">
        <is>
          <t>SI-1007</t>
        </is>
      </c>
      <c r="B4" t="n">
        <v>17.7</v>
      </c>
      <c r="C4" t="n">
        <v>12.4</v>
      </c>
      <c r="D4" t="n">
        <v>-5.3</v>
      </c>
      <c r="E4" t="inlineStr">
        <is>
          <t>loss_run_36mo.csv vs renewal_account_list.csv</t>
        </is>
      </c>
    </row>
    <row r="5">
      <c r="A5" t="inlineStr">
        <is>
          <t>SI-1010</t>
        </is>
      </c>
      <c r="B5" t="n">
        <v>19</v>
      </c>
      <c r="C5" t="n">
        <v>30.7</v>
      </c>
      <c r="D5" t="n">
        <v>11.7</v>
      </c>
      <c r="E5" t="inlineStr">
        <is>
          <t>loss_run_36mo.csv vs renewal_account_list.csv</t>
        </is>
      </c>
    </row>
    <row r="6">
      <c r="A6" t="inlineStr">
        <is>
          <t>SI-1018</t>
        </is>
      </c>
      <c r="B6" t="n">
        <v>31</v>
      </c>
      <c r="C6" t="n">
        <v>25.8</v>
      </c>
      <c r="D6" t="n">
        <v>-5.2</v>
      </c>
      <c r="E6" t="inlineStr">
        <is>
          <t>loss_run_36mo.csv vs renewal_account_list.csv</t>
        </is>
      </c>
    </row>
    <row r="7">
      <c r="A7" t="inlineStr">
        <is>
          <t>SI-1021</t>
        </is>
      </c>
      <c r="B7" t="n">
        <v>31.2</v>
      </c>
      <c r="C7" t="n">
        <v>14.4</v>
      </c>
      <c r="D7" t="n">
        <v>-16.8</v>
      </c>
      <c r="E7" t="inlineStr">
        <is>
          <t>loss_run_36mo.csv vs renewal_account_list.csv</t>
        </is>
      </c>
    </row>
    <row r="8">
      <c r="A8" t="inlineStr">
        <is>
          <t>SI-1024</t>
        </is>
      </c>
      <c r="B8" t="n">
        <v>26.3</v>
      </c>
      <c r="C8" t="n">
        <v>12.1</v>
      </c>
      <c r="D8" t="n">
        <v>-14.2</v>
      </c>
      <c r="E8" t="inlineStr">
        <is>
          <t>loss_run_36mo.csv vs renewal_account_list.csv</t>
        </is>
      </c>
    </row>
    <row r="9">
      <c r="A9" t="inlineStr">
        <is>
          <t>SI-1027</t>
        </is>
      </c>
      <c r="B9" t="n">
        <v>35.8</v>
      </c>
      <c r="C9" t="n">
        <v>17.1</v>
      </c>
      <c r="D9" t="n">
        <v>-18.7</v>
      </c>
      <c r="E9" t="inlineStr">
        <is>
          <t>loss_run_36mo.csv vs renewal_account_list.csv</t>
        </is>
      </c>
    </row>
    <row r="10">
      <c r="A10" t="inlineStr">
        <is>
          <t>SI-1033</t>
        </is>
      </c>
      <c r="B10" t="n">
        <v>27.8</v>
      </c>
      <c r="C10" t="n">
        <v>17.4</v>
      </c>
      <c r="D10" t="n">
        <v>-10.4</v>
      </c>
      <c r="E10" t="inlineStr">
        <is>
          <t>loss_run_36mo.csv vs renewal_account_list.csv</t>
        </is>
      </c>
    </row>
    <row r="11">
      <c r="A11" t="inlineStr">
        <is>
          <t>SI-1039</t>
        </is>
      </c>
      <c r="B11" t="n">
        <v>16.3</v>
      </c>
      <c r="C11" t="n">
        <v>24.2</v>
      </c>
      <c r="D11" t="n">
        <v>7.9</v>
      </c>
      <c r="E11" t="inlineStr">
        <is>
          <t>loss_run_36mo.csv vs renewal_account_list.csv</t>
        </is>
      </c>
    </row>
    <row r="12">
      <c r="A12" t="inlineStr">
        <is>
          <t>SI-1042</t>
        </is>
      </c>
      <c r="B12" t="n">
        <v>38.1</v>
      </c>
      <c r="C12" t="n">
        <v>50.4</v>
      </c>
      <c r="D12" t="n">
        <v>12.3</v>
      </c>
      <c r="E12" t="inlineStr">
        <is>
          <t>loss_run_36mo.csv vs renewal_account_list.csv</t>
        </is>
      </c>
    </row>
    <row r="13">
      <c r="A13" t="inlineStr">
        <is>
          <t>SI-1045</t>
        </is>
      </c>
      <c r="B13" t="n">
        <v>20.9</v>
      </c>
      <c r="C13" t="n">
        <v>29.4</v>
      </c>
      <c r="D13" t="n">
        <v>8.5</v>
      </c>
      <c r="E13" t="inlineStr">
        <is>
          <t>loss_run_36mo.csv vs renewal_account_list.csv</t>
        </is>
      </c>
    </row>
    <row r="14">
      <c r="A14" t="inlineStr">
        <is>
          <t>SI-1048</t>
        </is>
      </c>
      <c r="B14" t="n">
        <v>35.9</v>
      </c>
      <c r="C14" t="n">
        <v>18.8</v>
      </c>
      <c r="D14" t="n">
        <v>-17.1</v>
      </c>
      <c r="E14" t="inlineStr">
        <is>
          <t>loss_run_36mo.csv vs renewal_account_list.csv</t>
        </is>
      </c>
    </row>
    <row r="15">
      <c r="A15" t="inlineStr">
        <is>
          <t>SI-1051</t>
        </is>
      </c>
      <c r="B15" t="n">
        <v>19.3</v>
      </c>
      <c r="C15" t="n">
        <v>30.8</v>
      </c>
      <c r="D15" t="n">
        <v>11.5</v>
      </c>
      <c r="E15" t="inlineStr">
        <is>
          <t>loss_run_36mo.csv vs renewal_account_list.csv</t>
        </is>
      </c>
    </row>
    <row r="16">
      <c r="A16" t="inlineStr">
        <is>
          <t>SI-1054</t>
        </is>
      </c>
      <c r="B16" t="n">
        <v>28.6</v>
      </c>
      <c r="C16" t="n">
        <v>18.5</v>
      </c>
      <c r="D16" t="n">
        <v>-10.1</v>
      </c>
      <c r="E16" t="inlineStr">
        <is>
          <t>loss_run_36mo.csv vs renewal_account_list.csv</t>
        </is>
      </c>
    </row>
    <row r="17">
      <c r="A17" t="inlineStr">
        <is>
          <t>SI-1060</t>
        </is>
      </c>
      <c r="B17" t="n">
        <v>33.9</v>
      </c>
      <c r="C17" t="n">
        <v>9</v>
      </c>
      <c r="D17" t="n">
        <v>-24.9</v>
      </c>
      <c r="E17" t="inlineStr">
        <is>
          <t>loss_run_36mo.csv vs renewal_account_list.csv</t>
        </is>
      </c>
    </row>
    <row r="18">
      <c r="A18" t="inlineStr">
        <is>
          <t>SI-1063</t>
        </is>
      </c>
      <c r="B18" t="n">
        <v>29.5</v>
      </c>
      <c r="C18" t="n">
        <v>9</v>
      </c>
      <c r="D18" t="n">
        <v>-20.5</v>
      </c>
      <c r="E18" t="inlineStr">
        <is>
          <t>loss_run_36mo.csv vs renewal_account_list.csv</t>
        </is>
      </c>
    </row>
    <row r="19">
      <c r="A19" t="inlineStr">
        <is>
          <t>SI-1066</t>
        </is>
      </c>
      <c r="B19" t="n">
        <v>15.2</v>
      </c>
      <c r="C19" t="n">
        <v>29.9</v>
      </c>
      <c r="D19" t="n">
        <v>14.7</v>
      </c>
      <c r="E19" t="inlineStr">
        <is>
          <t>loss_run_36mo.csv vs renewal_account_list.csv</t>
        </is>
      </c>
    </row>
    <row r="20">
      <c r="A20" t="inlineStr">
        <is>
          <t>SI-1072</t>
        </is>
      </c>
      <c r="B20" t="n">
        <v>33.7</v>
      </c>
      <c r="C20" t="n">
        <v>27.9</v>
      </c>
      <c r="D20" t="n">
        <v>-5.8</v>
      </c>
      <c r="E20" t="inlineStr">
        <is>
          <t>loss_run_36mo.csv vs renewal_account_list.csv</t>
        </is>
      </c>
    </row>
    <row r="21">
      <c r="A21" t="inlineStr">
        <is>
          <t>SI-1088</t>
        </is>
      </c>
      <c r="B21" t="n">
        <v>29.7</v>
      </c>
      <c r="C21" t="n">
        <v>21</v>
      </c>
      <c r="D21" t="n">
        <v>-8.7</v>
      </c>
      <c r="E21" t="inlineStr">
        <is>
          <t>loss_run_36mo.csv vs renewal_account_list.csv</t>
        </is>
      </c>
    </row>
    <row r="22">
      <c r="A22" t="inlineStr">
        <is>
          <t>SI-1094</t>
        </is>
      </c>
      <c r="B22" t="n">
        <v>35.4</v>
      </c>
      <c r="C22" t="n">
        <v>23.8</v>
      </c>
      <c r="D22" t="n">
        <v>-11.6</v>
      </c>
      <c r="E22" t="inlineStr">
        <is>
          <t>loss_run_36mo.csv vs renewal_account_list.csv</t>
        </is>
      </c>
    </row>
    <row r="23">
      <c r="A23" t="inlineStr">
        <is>
          <t>SI-1097</t>
        </is>
      </c>
      <c r="B23" t="n">
        <v>31.7</v>
      </c>
      <c r="C23" t="n">
        <v>74.4</v>
      </c>
      <c r="D23" t="n">
        <v>42.7</v>
      </c>
      <c r="E23" t="inlineStr">
        <is>
          <t>loss_run_36mo.csv vs renewal_account_list.csv</t>
        </is>
      </c>
    </row>
    <row r="24">
      <c r="A24" t="inlineStr">
        <is>
          <t>SI-1103</t>
        </is>
      </c>
      <c r="B24" t="n">
        <v>17.5</v>
      </c>
      <c r="C24" t="n">
        <v>40.3</v>
      </c>
      <c r="D24" t="n">
        <v>22.8</v>
      </c>
      <c r="E24" t="inlineStr">
        <is>
          <t>loss_run_36mo.csv vs renewal_account_list.csv</t>
        </is>
      </c>
    </row>
    <row r="25">
      <c r="A25" t="inlineStr">
        <is>
          <t>SI-1106</t>
        </is>
      </c>
      <c r="B25" t="n">
        <v>27.6</v>
      </c>
      <c r="C25" t="n">
        <v>8.1</v>
      </c>
      <c r="D25" t="n">
        <v>-19.5</v>
      </c>
      <c r="E25" t="inlineStr">
        <is>
          <t>loss_run_36mo.csv vs renewal_account_list.csv</t>
        </is>
      </c>
    </row>
    <row r="26">
      <c r="A26" t="inlineStr">
        <is>
          <t>SI-1109</t>
        </is>
      </c>
      <c r="B26" t="n">
        <v>34.1</v>
      </c>
      <c r="C26" t="n">
        <v>27.9</v>
      </c>
      <c r="D26" t="n">
        <v>-6.2</v>
      </c>
      <c r="E26" t="inlineStr">
        <is>
          <t>loss_run_36mo.csv vs renewal_account_list.csv</t>
        </is>
      </c>
    </row>
    <row r="27">
      <c r="A27" t="inlineStr">
        <is>
          <t>SI-1156</t>
        </is>
      </c>
      <c r="B27" t="n">
        <v>52</v>
      </c>
      <c r="C27" t="n">
        <v>95.8</v>
      </c>
      <c r="D27" t="n">
        <v>43.8</v>
      </c>
      <c r="E27" t="inlineStr">
        <is>
          <t>loss_run_36mo.csv vs renewal_account_list.csv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rule_topic</t>
        </is>
      </c>
      <c r="B1" t="inlineStr">
        <is>
          <t>section</t>
        </is>
      </c>
      <c r="C1" t="inlineStr">
        <is>
          <t>source_file</t>
        </is>
      </c>
    </row>
    <row r="2">
      <c r="A2" t="inlineStr">
        <is>
          <t>Loss ratio decline/refer thresholds</t>
        </is>
      </c>
      <c r="B2" t="inlineStr">
        <is>
          <t>Section 3</t>
        </is>
      </c>
      <c r="C2" t="inlineStr">
        <is>
          <t>underwriting_rules_notes.txt</t>
        </is>
      </c>
    </row>
    <row r="3">
      <c r="A3" t="inlineStr">
        <is>
          <t>Single-location incurred referral</t>
        </is>
      </c>
      <c r="B3" t="inlineStr">
        <is>
          <t>Section 3</t>
        </is>
      </c>
      <c r="C3" t="inlineStr">
        <is>
          <t>underwriting_rules_notes.txt</t>
        </is>
      </c>
    </row>
    <row r="4">
      <c r="A4" t="inlineStr">
        <is>
          <t>TIV reconciliation tolerance</t>
        </is>
      </c>
      <c r="B4" t="inlineStr">
        <is>
          <t>Section 4</t>
        </is>
      </c>
      <c r="C4" t="inlineStr">
        <is>
          <t>underwriting_rules_notes.txt</t>
        </is>
      </c>
    </row>
    <row r="5">
      <c r="A5" t="inlineStr">
        <is>
          <t>Pending mitigation referral</t>
        </is>
      </c>
      <c r="B5" t="inlineStr">
        <is>
          <t>Section 5</t>
        </is>
      </c>
      <c r="C5" t="inlineStr">
        <is>
          <t>underwriting_rules_notes.txt</t>
        </is>
      </c>
    </row>
    <row r="6">
      <c r="A6" t="inlineStr">
        <is>
          <t>Coastal wind endorsement requirement</t>
        </is>
      </c>
      <c r="B6" t="inlineStr">
        <is>
          <t>Section 5</t>
        </is>
      </c>
      <c r="C6" t="inlineStr">
        <is>
          <t>underwriting_rules_notes.txt</t>
        </is>
      </c>
    </row>
    <row r="7">
      <c r="A7" t="inlineStr">
        <is>
          <t>Vacancy broker confirmation</t>
        </is>
      </c>
      <c r="B7" t="inlineStr">
        <is>
          <t>Section 6</t>
        </is>
      </c>
      <c r="C7" t="inlineStr">
        <is>
          <t>underwriting_rules_notes.txt</t>
        </is>
      </c>
    </row>
    <row r="8">
      <c r="A8" t="inlineStr">
        <is>
          <t>Cat loss exclusion from attritional LR</t>
        </is>
      </c>
      <c r="B8" t="inlineStr">
        <is>
          <t>Section 9</t>
        </is>
      </c>
      <c r="C8" t="inlineStr">
        <is>
          <t>underwriting_rules_notes.txt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July renewal batch disposition summary</t>
        </is>
      </c>
    </row>
    <row r="2">
      <c r="A2" t="inlineStr">
        <is>
          <t>Accounts reviewed</t>
        </is>
      </c>
      <c r="B2">
        <f>COUNTA(Account_Routing!A2:A100)-COUNTIF(Account_Routing!A2:A100,"")</f>
        <v/>
      </c>
    </row>
    <row r="3">
      <c r="A3" t="inlineStr">
        <is>
          <t>Quote</t>
        </is>
      </c>
      <c r="B3">
        <f>COUNTIF(Account_Routing!F2:F100,"Quote")</f>
        <v/>
      </c>
    </row>
    <row r="4">
      <c r="A4" t="inlineStr">
        <is>
          <t>Refer</t>
        </is>
      </c>
      <c r="B4">
        <f>COUNTIF(Account_Routing!F2:F100,"Refer")</f>
        <v/>
      </c>
    </row>
    <row r="5">
      <c r="A5" t="inlineStr">
        <is>
          <t>Decline</t>
        </is>
      </c>
      <c r="B5">
        <f>COUNTIF(Account_Routing!F2:F100,"Decline")</f>
        <v/>
      </c>
    </row>
    <row r="6">
      <c r="A6" t="inlineStr">
        <is>
          <t>Ask Broker</t>
        </is>
      </c>
      <c r="B6">
        <f>COUNTIF(Account_Routing!F2:F100,"Ask Broker")</f>
        <v/>
      </c>
    </row>
    <row r="8">
      <c r="A8" t="inlineStr">
        <is>
          <t>Coastal locations flagged</t>
        </is>
      </c>
      <c r="B8">
        <f>COUNTIF(Location_Exceptions!D2:D200,"CW-1")+COUNTIF(Location_Exceptions!D2:D200,"CW-2")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2026-09-01T16:55:41Z</dcterms:created>
  <dcterms:modified xsi:type="dcterms:W3CDTF">2026-09-01T16:55:41Z</dcterms:modified>
</cp:coreProperties>
</file>