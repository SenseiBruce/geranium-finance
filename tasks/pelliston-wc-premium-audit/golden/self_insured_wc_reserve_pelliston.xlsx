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Case Inventory" sheetId="2" state="visible" r:id="rId2"/>
    <sheet name="IBNR by AY" sheetId="3" state="visible" r:id="rId3"/>
    <sheet name="Excess Bridge" sheetId="4" state="visible" r:id="rId4"/>
    <sheet name="Reserve Rollforward" sheetId="5" state="visible" r:id="rId5"/>
    <sheet name="Notes" sheetId="6" state="visible" r:id="rId6"/>
    <sheet name="Controller Recommen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8" customWidth="1" min="1" max="1"/>
    <col width="15" customWidth="1" min="2" max="2"/>
    <col width="35" customWidth="1" min="3" max="3"/>
  </cols>
  <sheetData>
    <row r="1">
      <c r="A1" s="1" t="inlineStr">
        <is>
          <t>Governing assumptions — SI WC reserve 2025-12-31</t>
        </is>
      </c>
    </row>
    <row r="2">
      <c r="A2" t="inlineStr">
        <is>
          <t>Source: actuarial_funding_memo.txt (retention, factors, beginning reserve)</t>
        </is>
      </c>
    </row>
    <row r="3"/>
    <row r="4">
      <c r="A4" s="2" t="inlineStr">
        <is>
          <t>parameter</t>
        </is>
      </c>
      <c r="B4" s="2" t="inlineStr">
        <is>
          <t>value</t>
        </is>
      </c>
      <c r="C4" s="2" t="inlineStr">
        <is>
          <t>notes</t>
        </is>
      </c>
    </row>
    <row r="5">
      <c r="A5" t="inlineStr">
        <is>
          <t>per_occurrence_retention</t>
        </is>
      </c>
      <c r="B5" s="3" t="n">
        <v>350000</v>
      </c>
      <c r="C5" t="inlineStr">
        <is>
          <t>SI retention cap</t>
        </is>
      </c>
    </row>
    <row r="6">
      <c r="A6" t="inlineStr">
        <is>
          <t>beginning_si_reserve_2024_12_31</t>
        </is>
      </c>
      <c r="B6" s="3" t="n">
        <v>1842660.4</v>
      </c>
      <c r="C6" t="inlineStr">
        <is>
          <t>Audited opening balance</t>
        </is>
      </c>
    </row>
    <row r="7">
      <c r="A7" t="inlineStr">
        <is>
          <t>ibnr_factor_ay2022</t>
        </is>
      </c>
      <c r="B7" s="4" t="n">
        <v>0.04</v>
      </c>
      <c r="C7" t="inlineStr">
        <is>
          <t>Memo factor</t>
        </is>
      </c>
    </row>
    <row r="8">
      <c r="A8" t="inlineStr">
        <is>
          <t>ibnr_factor_ay2023</t>
        </is>
      </c>
      <c r="B8" s="4" t="n">
        <v>0.11</v>
      </c>
      <c r="C8" t="inlineStr">
        <is>
          <t>Memo factor</t>
        </is>
      </c>
    </row>
    <row r="9">
      <c r="A9" t="inlineStr">
        <is>
          <t>ibnr_factor_ay2024</t>
        </is>
      </c>
      <c r="B9" s="4" t="n">
        <v>0.28</v>
      </c>
      <c r="C9" t="inlineStr">
        <is>
          <t>Memo factor</t>
        </is>
      </c>
    </row>
    <row r="10">
      <c r="A10" t="inlineStr">
        <is>
          <t>ibnr_factor_ay2025</t>
        </is>
      </c>
      <c r="B10" s="4" t="n">
        <v>0.52</v>
      </c>
      <c r="C10" t="inlineStr">
        <is>
          <t>Memo factor — not superseded 0.40</t>
        </is>
      </c>
    </row>
    <row r="11">
      <c r="A11" t="inlineStr">
        <is>
          <t>superseded_ay2025_factor</t>
        </is>
      </c>
      <c r="B11" s="4" t="n">
        <v>0.4</v>
      </c>
      <c r="C11" t="inlineStr">
        <is>
          <t>Do not apply</t>
        </is>
      </c>
    </row>
    <row r="12">
      <c r="A12" t="inlineStr">
        <is>
          <t>closed_claim_exclude</t>
        </is>
      </c>
      <c r="B12" t="inlineStr">
        <is>
          <t>CLM-2024-0901</t>
        </is>
      </c>
      <c r="C12" t="inlineStr">
        <is>
          <t>Case forced to zero per memo</t>
        </is>
      </c>
    </row>
    <row r="13">
      <c r="A13" t="inlineStr">
        <is>
          <t>large_loss_claim</t>
        </is>
      </c>
      <c r="B13" t="inlineStr">
        <is>
          <t>CLM-2024-1187</t>
        </is>
      </c>
      <c r="C13" t="inlineStr">
        <is>
          <t>Retention cap applies</t>
        </is>
      </c>
    </row>
    <row r="14">
      <c r="A14" t="inlineStr">
        <is>
          <t>subrogation_claim</t>
        </is>
      </c>
      <c r="B14" t="inlineStr">
        <is>
          <t>CLM-2023-0442</t>
        </is>
      </c>
      <c r="C14" t="inlineStr">
        <is>
          <t>No credit until cash received</t>
        </is>
      </c>
    </row>
    <row r="15">
      <c r="A15" t="inlineStr">
        <is>
          <t>valuation_date</t>
        </is>
      </c>
      <c r="B15" t="inlineStr">
        <is>
          <t>2025-12-31</t>
        </is>
      </c>
      <c r="C15" t="inlineStr">
        <is>
          <t>Year-end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48" customWidth="1" min="1" max="1"/>
    <col width="15" customWidth="1" min="2" max="2"/>
    <col width="12" customWidth="1" min="3" max="3"/>
    <col width="18" customWidth="1" min="4" max="4"/>
    <col width="48" customWidth="1" min="5" max="5"/>
    <col width="45" customWidth="1" min="6" max="6"/>
    <col width="17" customWidth="1" min="7" max="7"/>
    <col width="48" customWidth="1" min="8" max="8"/>
  </cols>
  <sheetData>
    <row r="1">
      <c r="A1" s="1" t="inlineStr">
        <is>
          <t>Self-insured case reserves at 2025-12-31 (retention-capped)</t>
        </is>
      </c>
    </row>
    <row r="2">
      <c r="A2" t="inlineStr">
        <is>
          <t>Source values: pelliston_open_claims_triangle.xlsx Open Inventory. SI case = MIN(TPA case, Assumptions retention); closed claim forced to zero.</t>
        </is>
      </c>
    </row>
    <row r="3"/>
    <row r="4">
      <c r="A4" s="2" t="inlineStr">
        <is>
          <t>claim_number</t>
        </is>
      </c>
      <c r="B4" s="2" t="inlineStr">
        <is>
          <t>accident_year</t>
        </is>
      </c>
      <c r="C4" s="2" t="inlineStr">
        <is>
          <t>claimant</t>
        </is>
      </c>
      <c r="D4" s="2" t="inlineStr">
        <is>
          <t>tpa_case_reserve</t>
        </is>
      </c>
      <c r="E4" s="2" t="inlineStr">
        <is>
          <t>si_case_reserve</t>
        </is>
      </c>
      <c r="F4" s="2" t="inlineStr">
        <is>
          <t>excess_above_retention</t>
        </is>
      </c>
      <c r="G4" s="2" t="inlineStr">
        <is>
          <t>oi_paid_to_date</t>
        </is>
      </c>
      <c r="H4" s="2" t="inlineStr">
        <is>
          <t>notes</t>
        </is>
      </c>
    </row>
    <row r="5">
      <c r="A5" t="inlineStr">
        <is>
          <t>CLM-2022-0198</t>
        </is>
      </c>
      <c r="B5" t="n">
        <v>2022</v>
      </c>
      <c r="C5" t="inlineStr">
        <is>
          <t>R. Kessler</t>
        </is>
      </c>
      <c r="D5" s="3" t="n">
        <v>18400</v>
      </c>
      <c t="n" r="E5" s="3">
        <f>IF(A5=Assumptions!$B$12,0,MIN(D5,Assumptions!$B$5))</f>
        <v>18400</v>
      </c>
      <c t="n" r="F5" s="3">
        <f>IF(A5=Assumptions!$B$12,0,MAX(0,D5-E5))</f>
        <v>0</v>
      </c>
      <c r="G5" s="3" t="n">
        <v>23751.13</v>
      </c>
      <c r="H5" t="inlineStr"/>
    </row>
    <row r="6">
      <c r="A6" t="inlineStr">
        <is>
          <t>CLM-2022-0311</t>
        </is>
      </c>
      <c r="B6" t="n">
        <v>2022</v>
      </c>
      <c r="C6" t="inlineStr">
        <is>
          <t>J. Okonkwo</t>
        </is>
      </c>
      <c r="D6" s="3" t="n">
        <v>8220.4</v>
      </c>
      <c t="n" r="E6" s="3">
        <f>IF(A6=Assumptions!$B$12,0,MIN(D6,Assumptions!$B$5))</f>
        <v>8220.4</v>
      </c>
      <c t="n" r="F6" s="3">
        <f>IF(A6=Assumptions!$B$12,0,MAX(0,D6-E6))</f>
        <v>0</v>
      </c>
      <c r="G6" s="3" t="n">
        <v>29320.22</v>
      </c>
      <c r="H6" t="inlineStr"/>
    </row>
    <row r="7">
      <c r="A7" t="inlineStr">
        <is>
          <t>CLM-2022-0402</t>
        </is>
      </c>
      <c r="B7" t="n">
        <v>2022</v>
      </c>
      <c r="C7" t="inlineStr">
        <is>
          <t>P. Nanda</t>
        </is>
      </c>
      <c r="D7" s="3" t="n">
        <v>4110.18</v>
      </c>
      <c t="n" r="E7" s="3">
        <f>IF(A7=Assumptions!$B$12,0,MIN(D7,Assumptions!$B$5))</f>
        <v>4110.18</v>
      </c>
      <c t="n" r="F7" s="3">
        <f>IF(A7=Assumptions!$B$12,0,MAX(0,D7-E7))</f>
        <v>0</v>
      </c>
      <c r="G7" s="3" t="n">
        <v>6330.58</v>
      </c>
      <c r="H7" t="inlineStr"/>
    </row>
    <row r="8">
      <c r="A8" t="inlineStr">
        <is>
          <t>CLM-2023-0088</t>
        </is>
      </c>
      <c r="B8" t="n">
        <v>2023</v>
      </c>
      <c r="C8" t="inlineStr">
        <is>
          <t>A. Nguyen</t>
        </is>
      </c>
      <c r="D8" s="3" t="n">
        <v>22640.55</v>
      </c>
      <c t="n" r="E8" s="3">
        <f>IF(A8=Assumptions!$B$12,0,MIN(D8,Assumptions!$B$5))</f>
        <v>22640.55</v>
      </c>
      <c t="n" r="F8" s="3">
        <f>IF(A8=Assumptions!$B$12,0,MAX(0,D8-E8))</f>
        <v>0</v>
      </c>
      <c r="G8" s="3" t="n">
        <v>46630.77</v>
      </c>
      <c r="H8" t="inlineStr"/>
    </row>
    <row r="9">
      <c r="A9" t="inlineStr">
        <is>
          <t>CLM-2023-0275</t>
        </is>
      </c>
      <c r="B9" t="n">
        <v>2023</v>
      </c>
      <c r="C9" t="inlineStr">
        <is>
          <t>S. Patel</t>
        </is>
      </c>
      <c r="D9" s="3" t="n">
        <v>31200.18</v>
      </c>
      <c t="n" r="E9" s="3">
        <f>IF(A9=Assumptions!$B$12,0,MIN(D9,Assumptions!$B$5))</f>
        <v>31200.18</v>
      </c>
      <c t="n" r="F9" s="3">
        <f>IF(A9=Assumptions!$B$12,0,MAX(0,D9-E9))</f>
        <v>0</v>
      </c>
      <c r="G9" s="3" t="n">
        <v>51721.13</v>
      </c>
      <c r="H9" t="inlineStr"/>
    </row>
    <row r="10">
      <c r="A10" t="inlineStr">
        <is>
          <t>CLM-2023-0442</t>
        </is>
      </c>
      <c r="B10" t="n">
        <v>2023</v>
      </c>
      <c r="C10" t="inlineStr">
        <is>
          <t>M. Ortega</t>
        </is>
      </c>
      <c r="D10" s="3" t="n">
        <v>41200</v>
      </c>
      <c t="n" r="E10" s="3">
        <f>IF(A10=Assumptions!$B$12,0,MIN(D10,Assumptions!$B$5))</f>
        <v>41200</v>
      </c>
      <c t="n" r="F10" s="3">
        <f>IF(A10=Assumptions!$B$12,0,MAX(0,D10-E10))</f>
        <v>0</v>
      </c>
      <c r="G10" s="3" t="n">
        <v>53500.58</v>
      </c>
      <c r="H10" t="inlineStr">
        <is>
          <t>Expected subrogation not credited (cash not received)</t>
        </is>
      </c>
    </row>
    <row r="11">
      <c r="A11" t="inlineStr">
        <is>
          <t>CLM-2023-0510</t>
        </is>
      </c>
      <c r="B11" t="n">
        <v>2023</v>
      </c>
      <c r="C11" t="inlineStr">
        <is>
          <t>E. Soto</t>
        </is>
      </c>
      <c r="D11" s="3" t="n">
        <v>12880.4</v>
      </c>
      <c t="n" r="E11" s="3">
        <f>IF(A11=Assumptions!$B$12,0,MIN(D11,Assumptions!$B$5))</f>
        <v>12880.4</v>
      </c>
      <c t="n" r="F11" s="3">
        <f>IF(A11=Assumptions!$B$12,0,MAX(0,D11-E11))</f>
        <v>0</v>
      </c>
      <c r="G11" s="3" t="n">
        <v>10060.37</v>
      </c>
      <c r="H11" t="inlineStr"/>
    </row>
    <row r="12">
      <c r="A12" t="inlineStr">
        <is>
          <t>CLM-2024-0044</t>
        </is>
      </c>
      <c r="B12" t="n">
        <v>2024</v>
      </c>
      <c r="C12" t="inlineStr">
        <is>
          <t>L. Briggs</t>
        </is>
      </c>
      <c r="D12" s="3" t="n">
        <v>48220.18</v>
      </c>
      <c t="n" r="E12" s="3">
        <f>IF(A12=Assumptions!$B$12,0,MIN(D12,Assumptions!$B$5))</f>
        <v>48220.18</v>
      </c>
      <c t="n" r="F12" s="3">
        <f>IF(A12=Assumptions!$B$12,0,MAX(0,D12-E12))</f>
        <v>0</v>
      </c>
      <c r="G12" s="3" t="n">
        <v>60431.35</v>
      </c>
      <c r="H12" t="inlineStr"/>
    </row>
    <row r="13">
      <c r="A13" t="inlineStr">
        <is>
          <t>CLM-2024-0612</t>
        </is>
      </c>
      <c r="B13" t="n">
        <v>2024</v>
      </c>
      <c r="C13" t="inlineStr">
        <is>
          <t>K. Chen</t>
        </is>
      </c>
      <c r="D13" s="3" t="n">
        <v>27640.55</v>
      </c>
      <c t="n" r="E13" s="3">
        <f>IF(A13=Assumptions!$B$12,0,MIN(D13,Assumptions!$B$5))</f>
        <v>27640.55</v>
      </c>
      <c t="n" r="F13" s="3">
        <f>IF(A13=Assumptions!$B$12,0,MAX(0,D13-E13))</f>
        <v>0</v>
      </c>
      <c r="G13" s="3" t="n">
        <v>31510.58</v>
      </c>
      <c r="H13" t="inlineStr"/>
    </row>
    <row r="14">
      <c r="A14" t="inlineStr">
        <is>
          <t>CLM-2024-1187</t>
        </is>
      </c>
      <c r="B14" t="n">
        <v>2024</v>
      </c>
      <c r="C14" t="inlineStr">
        <is>
          <t>D. Vasquez</t>
        </is>
      </c>
      <c r="D14" s="3" t="n">
        <v>412800</v>
      </c>
      <c t="n" r="E14" s="3">
        <f>IF(A14=Assumptions!$B$12,0,MIN(D14,Assumptions!$B$5))</f>
        <v>350000</v>
      </c>
      <c t="n" r="F14" s="3">
        <f>IF(A14=Assumptions!$B$12,0,MAX(0,D14-E14))</f>
        <v>62800</v>
      </c>
      <c r="G14" s="3" t="n">
        <v>88420.18</v>
      </c>
      <c r="H14" t="inlineStr">
        <is>
          <t>TPA case capped at SI retention via Assumptions</t>
        </is>
      </c>
    </row>
    <row r="15">
      <c r="A15" t="inlineStr">
        <is>
          <t>CLM-2024-0777</t>
        </is>
      </c>
      <c r="B15" t="n">
        <v>2024</v>
      </c>
      <c r="C15" t="inlineStr">
        <is>
          <t>B. Mooney</t>
        </is>
      </c>
      <c r="D15" s="3" t="n">
        <v>19420.18</v>
      </c>
      <c t="n" r="E15" s="3">
        <f>IF(A15=Assumptions!$B$12,0,MIN(D15,Assumptions!$B$5))</f>
        <v>19420.18</v>
      </c>
      <c t="n" r="F15" s="3">
        <f>IF(A15=Assumptions!$B$12,0,MAX(0,D15-E15))</f>
        <v>0</v>
      </c>
      <c r="G15" s="3" t="n">
        <v>16631.13</v>
      </c>
      <c r="H15" t="inlineStr"/>
    </row>
    <row r="16">
      <c r="A16" t="inlineStr">
        <is>
          <t>CLM-2024-0901</t>
        </is>
      </c>
      <c r="B16" t="n">
        <v>2024</v>
      </c>
      <c r="C16" t="inlineStr">
        <is>
          <t>C. Delgado</t>
        </is>
      </c>
      <c r="D16" s="3" t="n">
        <v>6400</v>
      </c>
      <c t="n" r="E16" s="3">
        <f>IF(A16=Assumptions!$B$12,0,MIN(D16,Assumptions!$B$5))</f>
        <v>0</v>
      </c>
      <c t="n" r="F16" s="3">
        <f>IF(A16=Assumptions!$B$12,0,MAX(0,D16-E16))</f>
        <v>0</v>
      </c>
      <c r="G16" s="3" t="n">
        <v>18220.4</v>
      </c>
      <c r="H16" t="inlineStr">
        <is>
          <t>Removed — ledger final payment 2025-12-18; closed</t>
        </is>
      </c>
    </row>
    <row r="17">
      <c r="A17" t="inlineStr">
        <is>
          <t>CLM-2025-0012</t>
        </is>
      </c>
      <c r="B17" t="n">
        <v>2025</v>
      </c>
      <c r="C17" t="inlineStr">
        <is>
          <t>T. Quinn</t>
        </is>
      </c>
      <c r="D17" s="3" t="n">
        <v>34880.22</v>
      </c>
      <c t="n" r="E17" s="3">
        <f>IF(A17=Assumptions!$B$12,0,MIN(D17,Assumptions!$B$5))</f>
        <v>34880.22</v>
      </c>
      <c t="n" r="F17" s="3">
        <f>IF(A17=Assumptions!$B$12,0,MAX(0,D17-E17))</f>
        <v>0</v>
      </c>
      <c r="G17" s="3" t="n">
        <v>19410.8</v>
      </c>
      <c r="H17" t="inlineStr"/>
    </row>
    <row r="18">
      <c r="A18" t="inlineStr">
        <is>
          <t>CLM-2025-0188</t>
        </is>
      </c>
      <c r="B18" t="n">
        <v>2025</v>
      </c>
      <c r="C18" t="inlineStr">
        <is>
          <t>N. Blake</t>
        </is>
      </c>
      <c r="D18" s="3" t="n">
        <v>28640.18</v>
      </c>
      <c t="n" r="E18" s="3">
        <f>IF(A18=Assumptions!$B$12,0,MIN(D18,Assumptions!$B$5))</f>
        <v>28640.18</v>
      </c>
      <c t="n" r="F18" s="3">
        <f>IF(A18=Assumptions!$B$12,0,MAX(0,D18-E18))</f>
        <v>0</v>
      </c>
      <c r="G18" s="3" t="n">
        <v>21860.73</v>
      </c>
      <c r="H18" t="inlineStr"/>
    </row>
    <row r="19">
      <c r="A19" t="inlineStr">
        <is>
          <t>CLM-2025-0330</t>
        </is>
      </c>
      <c r="B19" t="n">
        <v>2025</v>
      </c>
      <c r="C19" t="inlineStr">
        <is>
          <t>H. Park</t>
        </is>
      </c>
      <c r="D19" s="3" t="n">
        <v>22110.4</v>
      </c>
      <c t="n" r="E19" s="3">
        <f>IF(A19=Assumptions!$B$12,0,MIN(D19,Assumptions!$B$5))</f>
        <v>22110.4</v>
      </c>
      <c t="n" r="F19" s="3">
        <f>IF(A19=Assumptions!$B$12,0,MAX(0,D19-E19))</f>
        <v>0</v>
      </c>
      <c r="G19" s="3" t="n">
        <v>11730.55</v>
      </c>
      <c r="H19" t="inlineStr"/>
    </row>
    <row r="20">
      <c r="A20" t="inlineStr">
        <is>
          <t>CLM-2025-0419</t>
        </is>
      </c>
      <c r="B20" t="n">
        <v>2025</v>
      </c>
      <c r="C20" t="inlineStr">
        <is>
          <t>I. Mendel</t>
        </is>
      </c>
      <c r="D20" s="3" t="n">
        <v>41200.18</v>
      </c>
      <c t="n" r="E20" s="3">
        <f>IF(A20=Assumptions!$B$12,0,MIN(D20,Assumptions!$B$5))</f>
        <v>41200.18</v>
      </c>
      <c t="n" r="F20" s="3">
        <f>IF(A20=Assumptions!$B$12,0,MAX(0,D20-E20))</f>
        <v>0</v>
      </c>
      <c r="G20" s="3" t="n">
        <v>7220.18</v>
      </c>
      <c r="H20" t="inlineStr"/>
    </row>
    <row r="21">
      <c r="A21" t="inlineStr">
        <is>
          <t>CLM-2025-0502</t>
        </is>
      </c>
      <c r="B21" t="n">
        <v>2025</v>
      </c>
      <c r="C21" t="inlineStr">
        <is>
          <t>F. Noor</t>
        </is>
      </c>
      <c r="D21" s="3" t="n">
        <v>18420.55</v>
      </c>
      <c t="n" r="E21" s="3">
        <f>IF(A21=Assumptions!$B$12,0,MIN(D21,Assumptions!$B$5))</f>
        <v>18420.55</v>
      </c>
      <c t="n" r="F21" s="3">
        <f>IF(A21=Assumptions!$B$12,0,MAX(0,D21-E21))</f>
        <v>0</v>
      </c>
      <c r="G21" s="3" t="n">
        <v>5300.58</v>
      </c>
      <c r="H21" t="inlineStr"/>
    </row>
    <row r="22">
      <c r="A22" t="inlineStr">
        <is>
          <t>CLM-2025-0555</t>
        </is>
      </c>
      <c r="B22" t="n">
        <v>2025</v>
      </c>
      <c r="C22" t="inlineStr">
        <is>
          <t>G. Alvarez</t>
        </is>
      </c>
      <c r="D22" s="3" t="n">
        <v>15880.4</v>
      </c>
      <c t="n" r="E22" s="3">
        <f>IF(A22=Assumptions!$B$12,0,MIN(D22,Assumptions!$B$5))</f>
        <v>15880.4</v>
      </c>
      <c t="n" r="F22" s="3">
        <f>IF(A22=Assumptions!$B$12,0,MAX(0,D22-E22))</f>
        <v>0</v>
      </c>
      <c r="G22" s="3" t="n">
        <v>2640.22</v>
      </c>
      <c r="H22" t="inlineStr"/>
    </row>
    <row r="23">
      <c r="C23" s="2" t="inlineStr">
        <is>
          <t>Totals</t>
        </is>
      </c>
      <c t="n" r="E23" s="3">
        <f>SUM(E5:E22)</f>
        <v>745064.55</v>
      </c>
      <c t="n" r="F23" s="3">
        <f>SUM(F5:F22)</f>
        <v>62800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8" customWidth="1" min="1" max="1"/>
    <col width="26" customWidth="1" min="2" max="2"/>
    <col width="48" customWidth="1" min="3" max="3"/>
    <col width="12" customWidth="1" min="4" max="4"/>
    <col width="18" customWidth="1" min="5" max="5"/>
    <col width="17" customWidth="1" min="6" max="6"/>
    <col width="43" customWidth="1" min="7" max="7"/>
  </cols>
  <sheetData>
    <row r="1">
      <c r="A1" s="1" t="inlineStr">
        <is>
          <t>Accident-year IBNR — Triangle cumulative paid + SI case × memo factor</t>
        </is>
      </c>
    </row>
    <row r="2">
      <c r="A2" t="inlineStr">
        <is>
          <t>Cumulative paid from AY Triangle (cumulative_paid_as_of_2025_12). SI case from Case Inventory via SUMIF. Factors from Assumptions / actuarial_funding_memo.txt.</t>
        </is>
      </c>
    </row>
    <row r="3"/>
    <row r="4">
      <c r="A4" s="2" t="inlineStr">
        <is>
          <t>accident_year</t>
        </is>
      </c>
      <c r="B4" s="2" t="inlineStr">
        <is>
          <t>cumulative_paid_triangle</t>
        </is>
      </c>
      <c r="C4" s="2" t="inlineStr">
        <is>
          <t>si_case_reserve</t>
        </is>
      </c>
      <c r="D4" s="2" t="inlineStr">
        <is>
          <t>ibnr_base</t>
        </is>
      </c>
      <c r="E4" s="2" t="inlineStr">
        <is>
          <t>ibnr_factor</t>
        </is>
      </c>
      <c r="F4" s="2" t="inlineStr">
        <is>
          <t>ibnr</t>
        </is>
      </c>
      <c r="G4" s="2" t="inlineStr">
        <is>
          <t>paid_source</t>
        </is>
      </c>
    </row>
    <row r="5">
      <c r="A5" t="n">
        <v>2022</v>
      </c>
      <c r="B5" s="3" t="n">
        <v>136220.55</v>
      </c>
      <c t="n" r="C5" s="3">
        <f>SUMIF('Case Inventory'!B$5:B$22,A5,'Case Inventory'!E$5:E$22)</f>
        <v>30730.58</v>
      </c>
      <c t="n" r="D5" s="3">
        <f>B5+C5</f>
        <v>166951.13</v>
      </c>
      <c t="n" r="E5" s="4">
        <f>Assumptions!B7</f>
        <v>0.04</v>
      </c>
      <c t="n" r="F5" s="3">
        <f>ROUND(D5*E5,2)</f>
        <v>6678.05</v>
      </c>
      <c r="G5" t="inlineStr">
        <is>
          <t>AY Triangle cumulative_paid_as_of_2025_12</t>
        </is>
      </c>
    </row>
    <row r="6">
      <c r="A6" t="n">
        <v>2023</v>
      </c>
      <c r="B6" s="3" t="n">
        <v>172640.55</v>
      </c>
      <c t="n" r="C6" s="3">
        <f>SUMIF('Case Inventory'!B$5:B$22,A6,'Case Inventory'!E$5:E$22)</f>
        <v>107921.13</v>
      </c>
      <c t="n" r="D6" s="3">
        <f>B6+C6</f>
        <v>280561.68</v>
      </c>
      <c t="n" r="E6" s="4">
        <f>Assumptions!B8</f>
        <v>0.11</v>
      </c>
      <c t="n" r="F6" s="3">
        <f>ROUND(D6*E6,2)</f>
        <v>30861.78</v>
      </c>
      <c r="G6" t="inlineStr">
        <is>
          <t>AY Triangle cumulative_paid_as_of_2025_12</t>
        </is>
      </c>
    </row>
    <row r="7">
      <c r="A7" t="n">
        <v>2024</v>
      </c>
      <c r="B7" s="3" t="n">
        <v>186420.18</v>
      </c>
      <c t="n" r="C7" s="3">
        <f>SUMIF('Case Inventory'!B$5:B$22,A7,'Case Inventory'!E$5:E$22)</f>
        <v>445280.91</v>
      </c>
      <c t="n" r="D7" s="3">
        <f>B7+C7</f>
        <v>631701.09</v>
      </c>
      <c t="n" r="E7" s="4">
        <f>Assumptions!B9</f>
        <v>0.28</v>
      </c>
      <c t="n" r="F7" s="3">
        <f>ROUND(D7*E7,2)</f>
        <v>176876.31</v>
      </c>
      <c r="G7" t="inlineStr">
        <is>
          <t>AY Triangle cumulative_paid_as_of_2025_12</t>
        </is>
      </c>
    </row>
    <row r="8">
      <c r="A8" t="n">
        <v>2025</v>
      </c>
      <c r="B8" s="3" t="n">
        <v>68220.4</v>
      </c>
      <c t="n" r="C8" s="3">
        <f>SUMIF('Case Inventory'!B$5:B$22,A8,'Case Inventory'!E$5:E$22)</f>
        <v>161131.93</v>
      </c>
      <c t="n" r="D8" s="3">
        <f>B8+C8</f>
        <v>229352.33</v>
      </c>
      <c t="n" r="E8" s="4">
        <f>Assumptions!B10</f>
        <v>0.52</v>
      </c>
      <c t="n" r="F8" s="3">
        <f>ROUND(D8*E8,2)</f>
        <v>119263.21</v>
      </c>
      <c r="G8" t="inlineStr">
        <is>
          <t>AY Triangle cumulative_paid_as_of_2025_12</t>
        </is>
      </c>
    </row>
    <row r="9">
      <c r="A9" s="2" t="inlineStr">
        <is>
          <t>Total IBNR</t>
        </is>
      </c>
      <c t="n" r="F9" s="3">
        <f>SUM(F5:F8)</f>
        <v>333679.35</v>
      </c>
    </row>
    <row r="10"/>
    <row r="11">
      <c r="A11" t="inlineStr">
        <is>
          <t>Superseded factor not used</t>
        </is>
      </c>
      <c t="n" r="B11" s="4">
        <f>Assumptions!B11</f>
        <v>0.4</v>
      </c>
      <c r="C11" t="inlineStr">
        <is>
          <t>Mid-year 2025 exhibit — do not apply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8" customWidth="1" min="1" max="1"/>
    <col width="23" customWidth="1" min="2" max="2"/>
    <col width="19" customWidth="1" min="3" max="3"/>
    <col width="16" customWidth="1" min="4" max="4"/>
    <col width="26" customWidth="1" min="5" max="5"/>
    <col width="48" customWidth="1" min="6" max="6"/>
  </cols>
  <sheetData>
    <row r="1">
      <c r="A1" s="1" t="inlineStr">
        <is>
          <t>Excess / ceded recoverable (not SI liability)</t>
        </is>
      </c>
    </row>
    <row r="2">
      <c r="A2" t="inlineStr">
        <is>
          <t>Gross TPA case vs Assumptions retention; excess = gross − retention amount</t>
        </is>
      </c>
    </row>
    <row r="3"/>
    <row r="4">
      <c r="A4" s="2" t="inlineStr">
        <is>
          <t>claim_number</t>
        </is>
      </c>
      <c r="B4" s="2" t="inlineStr">
        <is>
          <t>gross_tpa_case</t>
        </is>
      </c>
      <c r="C4" s="2" t="inlineStr">
        <is>
          <t>retention_amount</t>
        </is>
      </c>
      <c r="D4" s="2" t="inlineStr">
        <is>
          <t>si_case_capped</t>
        </is>
      </c>
      <c r="E4" s="2" t="inlineStr">
        <is>
          <t>excess_ceded_recoverable</t>
        </is>
      </c>
      <c r="F4" s="2" t="inlineStr">
        <is>
          <t>rule</t>
        </is>
      </c>
    </row>
    <row r="5">
      <c r="A5" t="inlineStr">
        <is>
          <t>CLM-2024-1187</t>
        </is>
      </c>
      <c t="n" r="B5" s="3">
        <f>'Case Inventory'!D14</f>
        <v>412800</v>
      </c>
      <c t="n" r="C5" s="3">
        <f>Assumptions!$B$5</f>
        <v>350000</v>
      </c>
      <c t="n" r="D5" s="3">
        <f>MIN(B5,C5)</f>
        <v>350000</v>
      </c>
      <c t="n" r="E5" s="3">
        <f>MAX(0,B5-C5)</f>
        <v>62800</v>
      </c>
      <c r="F5" t="inlineStr">
        <is>
          <t>actuarial_funding_memo.txt — SI retention; not SI liability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8" customWidth="1" min="1" max="1"/>
    <col width="30" customWidth="1" min="2" max="2"/>
    <col width="42" customWidth="1" min="3" max="3"/>
  </cols>
  <sheetData>
    <row r="1">
      <c r="A1" s="1" t="inlineStr">
        <is>
          <t>Self-insured WC reserve rollforward to 2025-12-31</t>
        </is>
      </c>
    </row>
    <row r="2"/>
    <row r="3">
      <c r="A3" s="2" t="inlineStr">
        <is>
          <t>line</t>
        </is>
      </c>
      <c r="B3" s="2" t="inlineStr">
        <is>
          <t>amount</t>
        </is>
      </c>
      <c r="C3" s="2" t="inlineStr">
        <is>
          <t>source</t>
        </is>
      </c>
    </row>
    <row r="4">
      <c r="A4" t="inlineStr">
        <is>
          <t>Beginning SI reserve (2024-12-31)</t>
        </is>
      </c>
      <c t="n" r="B4" s="3">
        <f>Assumptions!B6</f>
        <v>1842660.4</v>
      </c>
      <c r="C4" t="inlineStr">
        <is>
          <t>Assumptions / actuarial_funding_memo.txt</t>
        </is>
      </c>
    </row>
    <row r="5">
      <c r="A5" t="inlineStr">
        <is>
          <t>Net paid (calendar 2025, voids netted)</t>
        </is>
      </c>
      <c r="B5" s="3" t="n">
        <v>600226.54</v>
      </c>
      <c r="C5" t="inlineStr">
        <is>
          <t>pelliston_claims_payment_ledger.csv</t>
        </is>
      </c>
    </row>
    <row r="6">
      <c r="A6" t="inlineStr">
        <is>
          <t>Net incurred (plug)</t>
        </is>
      </c>
      <c t="n" r="B6" s="3">
        <f>ROUND(B8+B5-B4,2)</f>
        <v>-163689.96</v>
      </c>
      <c r="C6" t="inlineStr">
        <is>
          <t>Identity: ending − beginning + paid</t>
        </is>
      </c>
    </row>
    <row r="7">
      <c r="A7" t="inlineStr">
        <is>
          <t>SI case reserves (capped)</t>
        </is>
      </c>
      <c t="n" r="B7" s="3">
        <f>'Case Inventory'!E23</f>
        <v>745064.55</v>
      </c>
      <c r="C7" t="inlineStr">
        <is>
          <t>Case Inventory total</t>
        </is>
      </c>
    </row>
    <row r="8">
      <c r="A8" t="inlineStr">
        <is>
          <t>Ending SI reserve (case + IBNR)</t>
        </is>
      </c>
      <c t="n" r="B8" s="3">
        <f>ROUND(B7+'IBNR by AY'!F9,2)</f>
        <v>1078743.9</v>
      </c>
      <c r="C8" t="inlineStr">
        <is>
          <t>Case Inventory + IBNR by 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4" customWidth="1" min="1" max="1"/>
    <col width="96" customWidth="1" min="2" max="2"/>
  </cols>
  <sheetData>
    <row r="1">
      <c r="A1" s="1" t="inlineStr">
        <is>
          <t>Methodology and source conflicts</t>
        </is>
      </c>
    </row>
    <row r="2"/>
    <row r="3">
      <c r="A3" s="2" t="inlineStr">
        <is>
          <t>topic</t>
        </is>
      </c>
      <c r="B3" s="2" t="inlineStr">
        <is>
          <t>documentation</t>
        </is>
      </c>
    </row>
    <row r="4" ht="60" customHeight="1">
      <c r="A4" t="inlineStr">
        <is>
          <t>IBNR paid source</t>
        </is>
      </c>
      <c r="B4" s="5" t="inlineStr">
        <is>
          <t>actuarial_funding_memo.txt requires IBNR on cumulative paid_to_date + SI case. Cumulative paid is taken from pelliston_open_claims_triangle.xlsx AY Triangle (cumulative_paid_as_of_2025_12), which covers the full accident-year population including closed claims. SI case comes from Open Inventory after retention caps.</t>
        </is>
      </c>
    </row>
    <row r="5" ht="60" customHeight="1">
      <c r="A5" t="inlineStr">
        <is>
          <t>Mature years AY2022 / AY2023</t>
        </is>
      </c>
      <c r="B5" s="5" t="inlineStr">
        <is>
          <t>Open Inventory open-claim paid sums ($59,401.93 / $161,912.85) are below Triangle cumulative paid ($136,220.55 / $172,640.55). Using only Open Inventory paid would understate the IBNR base on mature years. Triangle is the selected AY-level paid source.</t>
        </is>
      </c>
    </row>
    <row r="6" ht="60" customHeight="1">
      <c r="A6" t="inlineStr">
        <is>
          <t>AY2024 paid conflict</t>
        </is>
      </c>
      <c r="B6" s="5" t="inlineStr">
        <is>
          <t>Open Inventory open-claim paid excluding CLM-2024-0901 = $196,993.24. AY Triangle cumulative_paid_as_of_2025_12 for AY2024 = $186,420.18. Open-subset paid exceeds AY-level cumulative by $10,573.06. If both were literal cumulative figures for the same population, an open subset cannot exceed the AY total — the sources cannot both be correct as stated. No bridge is provided in the source workbook. Selected source for IBNR: AY Triangle ($186,420.18). Effect: IBNR base uses Triangle paid + retention-capped SI case; Open Inventory paid is not used in the IBNR base for AY2024.</t>
        </is>
      </c>
    </row>
    <row r="7" ht="60" customHeight="1">
      <c r="A7" t="inlineStr">
        <is>
          <t>Sources cited</t>
        </is>
      </c>
      <c r="B7" s="5" t="inlineStr">
        <is>
          <t>actuarial_funding_memo.txt; pelliston_open_claims_triangle.xlsx (AY Triangle and Open Inventory); pelliston_claims_payment_ledger.csv (calendar net paid).</t>
        </is>
      </c>
    </row>
    <row r="8" ht="60" customHeight="1">
      <c r="A8" t="inlineStr">
        <is>
          <t>Memo treatments applied</t>
        </is>
      </c>
      <c r="B8" s="5" t="inlineStr">
        <is>
          <t>CLM-2024-1187 capped at retention; CLM-2024-0901 case zeroed; CLM-2023-0442 subrogation not credited; void pair excluded from net paid; AY2025 factor 0.52 (not 0.40).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8" customWidth="1" min="1" max="1"/>
    <col width="27" customWidth="1" min="2" max="2"/>
    <col width="12" customWidth="1" min="3" max="3"/>
    <col width="12" customWidth="1" min="4" max="4"/>
  </cols>
  <sheetData>
    <row r="1">
      <c r="A1" s="1" t="inlineStr">
        <is>
          <t>Controller recommendation — SI WC reserve for audit / bank pack</t>
        </is>
      </c>
    </row>
    <row r="2"/>
    <row r="3">
      <c r="A3" t="inlineStr">
        <is>
          <t>Ending SI liability to book</t>
        </is>
      </c>
      <c t="n" r="B3" s="3">
        <f>'Reserve Rollforward'!B8</f>
        <v>1078743.9</v>
      </c>
    </row>
    <row r="4">
      <c r="A4" t="inlineStr">
        <is>
          <t>Excess / ceded recoverable (disclosure)</t>
        </is>
      </c>
      <c t="n" r="B4" s="3">
        <f>'Excess Bridge'!E5</f>
        <v>62800</v>
      </c>
    </row>
    <row r="5">
      <c r="A5" t="inlineStr">
        <is>
          <t>Narrative</t>
        </is>
      </c>
    </row>
    <row r="6">
      <c r="A6" s="5" t="inlineStr">
        <is>
          <t>Book self-insured workers compensation liability equal to the ending reserve on Reserve Rollforward (SI case from Case Inventory plus IBNR from IBNR by AY). Cap CLM-2024-1187 at the Assumptions retention per actuarial_funding_memo.txt and disclose Excess Bridge recoverable as excess-carrier recoverable, not SI liability. Do not credit expected subrogation on CLM-2023-0442 until cash is received. Apply AY2025 IBNR factor from Assumptions (0.52), not the superseded 0.40. Remove CLM-2024-0901 from case inventory per December ledger closure. AY IBNR uses Triangle cumulative paid; see Notes for the AY2024 Open Inventory vs Triangle paid conflict.</t>
        </is>
      </c>
    </row>
    <row r="7"/>
    <row r="8"/>
    <row r="9"/>
    <row r="10"/>
    <row r="11"/>
    <row r="12">
      <c r="A12" t="inlineStr">
        <is>
          <t>Prohibited treatments not used</t>
        </is>
      </c>
    </row>
    <row r="13">
      <c r="A13" s="6" t="inlineStr">
        <is>
          <t>Did not credit unpaid subrogation; did not carry uncapped TPA case on the large loss as SI liability; did not apply the mid-year 0.40 factor to AY2025; did not hide the AY2024 paid conflict between Open Inventory and AY Triangle.</t>
        </is>
      </c>
    </row>
    <row r="14"/>
    <row r="15"/>
  </sheetData>
  <mergeCells count="2">
    <mergeCell ref="A13:D15"/>
    <mergeCell ref="A6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2026-09-04T06:47:34Z</dcterms:created>
  <dcterms:modified xsi:type="dcterms:W3CDTF">2026-09-04T06:47:34Z</dcterms:modified>
</cp:coreProperties>
</file>