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_Data" sheetId="2" state="visible" r:id="rId2"/>
    <sheet name="Rollup" sheetId="3" state="visible" r:id="rId3"/>
    <sheet name="Reconciliation_Log" sheetId="4" state="visible" r:id="rId4"/>
    <sheet name="Recommen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</t>
        </is>
      </c>
      <c r="B1" t="inlineStr">
        <is>
          <t>2025-01-01 to 2025-03-31</t>
        </is>
      </c>
    </row>
    <row r="2">
      <c r="A2" t="inlineStr">
        <is>
          <t>CAD/USD rate</t>
        </is>
      </c>
      <c r="B2" t="n">
        <v>0.74</v>
      </c>
    </row>
    <row r="3">
      <c r="A3" t="inlineStr">
        <is>
          <t>Lattice acquisition date</t>
        </is>
      </c>
      <c r="B3" t="inlineStr">
        <is>
          <t>2025-02-01</t>
        </is>
      </c>
    </row>
    <row r="4">
      <c r="A4" t="inlineStr">
        <is>
          <t>Lattice proration factor</t>
        </is>
      </c>
      <c r="B4">
        <f>0.6555555555555556</f>
        <v/>
      </c>
    </row>
    <row r="5">
      <c r="A5" t="inlineStr">
        <is>
          <t>Lattice ownership days in Q1</t>
        </is>
      </c>
      <c r="B5" t="n">
        <v>59</v>
      </c>
    </row>
    <row r="6">
      <c r="A6" t="inlineStr">
        <is>
          <t>Q1 calendar days</t>
        </is>
      </c>
      <c r="B6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Gross USD/CAD</t>
        </is>
      </c>
      <c r="C1" t="inlineStr">
        <is>
          <t>Currency</t>
        </is>
      </c>
      <c r="D1" t="inlineStr">
        <is>
          <t>Notes</t>
        </is>
      </c>
    </row>
    <row r="2">
      <c r="A2" t="inlineStr">
        <is>
          <t>Beacon Media</t>
        </is>
      </c>
      <c r="B2" t="n">
        <v>440566.01</v>
      </c>
      <c r="C2" t="inlineStr">
        <is>
          <t>USD</t>
        </is>
      </c>
      <c r="D2" t="inlineStr">
        <is>
          <t>Full quarter</t>
        </is>
      </c>
    </row>
    <row r="3">
      <c r="A3" t="inlineStr">
        <is>
          <t>Cascade Creative</t>
        </is>
      </c>
      <c r="B3" t="n">
        <v>611842.27</v>
      </c>
      <c r="C3" t="inlineStr">
        <is>
          <t>CAD</t>
        </is>
      </c>
      <c r="D3" t="inlineStr">
        <is>
          <t>Convert at period rate</t>
        </is>
      </c>
    </row>
    <row r="4">
      <c r="A4" t="inlineStr">
        <is>
          <t>Lattice Digital</t>
        </is>
      </c>
      <c r="B4" t="n">
        <v>1063627.65</v>
      </c>
      <c r="C4" t="inlineStr">
        <is>
          <t>USD</t>
        </is>
      </c>
      <c r="D4" t="inlineStr">
        <is>
          <t>Acquired Feb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Gross</t>
        </is>
      </c>
      <c r="C1" t="inlineStr">
        <is>
          <t>Proration</t>
        </is>
      </c>
      <c r="D1" t="inlineStr">
        <is>
          <t>Consolidated USD</t>
        </is>
      </c>
    </row>
    <row r="2">
      <c r="A2" t="inlineStr">
        <is>
          <t>Beacon Media</t>
        </is>
      </c>
      <c r="B2" t="n">
        <v>440566.01</v>
      </c>
      <c r="C2" t="n">
        <v>1</v>
      </c>
      <c r="D2">
        <f>B2*C2</f>
        <v/>
      </c>
    </row>
    <row r="3">
      <c r="A3" t="inlineStr">
        <is>
          <t>Cascade Creative</t>
        </is>
      </c>
      <c r="B3" t="n">
        <v>611842.27</v>
      </c>
      <c r="C3" t="n">
        <v>1</v>
      </c>
      <c r="D3">
        <f>B3*Assumptions!B2</f>
        <v/>
      </c>
    </row>
    <row r="4">
      <c r="A4" t="inlineStr">
        <is>
          <t>Lattice Digital</t>
        </is>
      </c>
      <c r="B4" t="n">
        <v>1063627.65</v>
      </c>
      <c r="C4">
        <f>Assumptions!B4</f>
        <v/>
      </c>
      <c r="D4">
        <f>B4*C4</f>
        <v/>
      </c>
    </row>
    <row r="6">
      <c r="A6" t="inlineStr">
        <is>
          <t>Total consolidated Q1 2025</t>
        </is>
      </c>
      <c r="D6">
        <f>SUM(D2:D4)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Action</t>
        </is>
      </c>
      <c r="C1" t="inlineStr">
        <is>
          <t>Source</t>
        </is>
      </c>
    </row>
    <row r="2">
      <c r="A2" t="inlineStr">
        <is>
          <t>Void/cancelled rows</t>
        </is>
      </c>
      <c r="B2" t="inlineStr">
        <is>
          <t>Excluded from revenue</t>
        </is>
      </c>
      <c r="C2" t="inlineStr">
        <is>
          <t>harborview_media_group_brand_ledger.csv</t>
        </is>
      </c>
    </row>
    <row r="3">
      <c r="A3" t="inlineStr">
        <is>
          <t>Post-period rows (HM-3007)</t>
        </is>
      </c>
      <c r="B3" t="inlineStr">
        <is>
          <t>Excluded</t>
        </is>
      </c>
      <c r="C3" t="inlineStr">
        <is>
          <t>harborview_media_group_brand_ledger.csv</t>
        </is>
      </c>
    </row>
    <row r="4">
      <c r="A4" t="inlineStr">
        <is>
          <t>Prior-year row HM-4001</t>
        </is>
      </c>
      <c r="B4" t="inlineStr">
        <is>
          <t>Excluded from Q1</t>
        </is>
      </c>
      <c r="C4" t="inlineStr">
        <is>
          <t>harborview_media_group_brand_ledger.csv</t>
        </is>
      </c>
    </row>
    <row r="5">
      <c r="A5" t="inlineStr">
        <is>
          <t>CAD label</t>
        </is>
      </c>
      <c r="B5" t="inlineStr">
        <is>
          <t>Converted at 0.74</t>
        </is>
      </c>
      <c r="C5" t="inlineStr">
        <is>
          <t>cascade_creative_fx_and_period_reference.txt</t>
        </is>
      </c>
    </row>
    <row r="6">
      <c r="A6" t="inlineStr">
        <is>
          <t>Lattice mid-period acquisition</t>
        </is>
      </c>
      <c r="B6" t="inlineStr">
        <is>
          <t>Prorated from Feb 1</t>
        </is>
      </c>
      <c r="C6" t="inlineStr">
        <is>
          <t>lattice_digital_acquisition_memo.txt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recommendation</t>
        </is>
      </c>
    </row>
    <row r="2">
      <c r="A2" t="inlineStr">
        <is>
          <t>Report consolidated Q1 2025 revenue after CAD conversion, transaction exclusions, and Lattice acquisition-date proration.</t>
        </is>
      </c>
    </row>
    <row r="3">
      <c r="A3" t="inlineStr">
        <is>
          <t>Consolidated total</t>
        </is>
      </c>
      <c r="B3">
        <f>Rollup!D6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2026-09-01T16:01:57Z</dcterms:created>
  <dcterms:modified xsi:type="dcterms:W3CDTF">2026-09-01T16:01:57Z</dcterms:modified>
</cp:coreProperties>
</file>